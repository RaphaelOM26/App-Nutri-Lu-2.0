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gustavoferreira/Downloads/"/>
    </mc:Choice>
  </mc:AlternateContent>
  <xr:revisionPtr revIDLastSave="0" documentId="8_{93A539B0-5265-BA43-BC42-07D9F6A5177F}" xr6:coauthVersionLast="47" xr6:coauthVersionMax="47" xr10:uidLastSave="{00000000-0000-0000-0000-000000000000}"/>
  <bookViews>
    <workbookView xWindow="0" yWindow="660" windowWidth="29400" windowHeight="16660" xr2:uid="{00000000-000D-0000-FFFF-FFFF00000000}"/>
  </bookViews>
  <sheets>
    <sheet name="Receitas_App" sheetId="1" r:id="rId1"/>
    <sheet name="Resumo_QA" sheetId="2" r:id="rId2"/>
    <sheet name="Dicionario_Campos" sheetId="3" r:id="rId3"/>
    <sheet name="Listas_Apoi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9" i="2"/>
  <c r="E8" i="2"/>
  <c r="B8" i="2"/>
  <c r="E7" i="2"/>
  <c r="E6" i="2"/>
  <c r="B6" i="2"/>
  <c r="B7" i="2" s="1"/>
  <c r="E5" i="2"/>
  <c r="B5" i="2"/>
</calcChain>
</file>

<file path=xl/sharedStrings.xml><?xml version="1.0" encoding="utf-8"?>
<sst xmlns="http://schemas.openxmlformats.org/spreadsheetml/2006/main" count="4952" uniqueCount="2542">
  <si>
    <t>ID</t>
  </si>
  <si>
    <t>Nome da receita</t>
  </si>
  <si>
    <t>Refeição(ões)</t>
  </si>
  <si>
    <t>Categorias / restrições</t>
  </si>
  <si>
    <t>Tempo de preparo</t>
  </si>
  <si>
    <t>Dificuldade</t>
  </si>
  <si>
    <t>Ingredientes padronizados</t>
  </si>
  <si>
    <t>Modo de preparo</t>
  </si>
  <si>
    <t>Rendimento</t>
  </si>
  <si>
    <t>Calorias (kcal/porção)</t>
  </si>
  <si>
    <t>Proteínas (g/porção)</t>
  </si>
  <si>
    <t>Carboidratos (g/porção)</t>
  </si>
  <si>
    <t>Gorduras (g/porção)</t>
  </si>
  <si>
    <t>Fibras (g/porção)</t>
  </si>
  <si>
    <t>Conservação</t>
  </si>
  <si>
    <t>Substituições</t>
  </si>
  <si>
    <t>Descrição para foto IA</t>
  </si>
  <si>
    <t>NL-001</t>
  </si>
  <si>
    <t>Molho de Manga para Saladas</t>
  </si>
  <si>
    <t>Molhos e acompanhamentos</t>
  </si>
  <si>
    <t>Sem glúten • Sem lactose • Vegetariano • Fonte de gorduras insaturadas • Sem ultraprocessados</t>
  </si>
  <si>
    <t>5 minutos</t>
  </si>
  <si>
    <t>Fácil</t>
  </si>
  <si>
    <t>1 xícara (chá) de manga madura em cubos (165 g)
1 colher (sopa) de mel (20 g)
2 colheres (sopa) de vinagre de maçã (30 ml)
½ xícara (chá) de azeite de oliva extravirgem (120 ml)
¼ de xícara (chá) de salsa fresca picada (15 g)
¼ de colher (sobremesa) de sal (3 g)
Pimenta-do-reino moída na hora a gosto</t>
  </si>
  <si>
    <t>Higienize a manga e a salsa.
Descasque a manga e corte-a em cubos.
Coloque no liquidificador ou no mixer a manga, o mel, o vinagre de maçã, o azeite, a salsa e o sal.
Bata por aproximadamente 1 minuto ou até obter um molho homogêneo e cremoso.
Acrescente a pimenta-do-reino moída na hora e misture delicadamente.
Transfira para um recipiente de vidro com tampa.
Mantenha refrigerado até o momento de servir e misture antes de utilizar.</t>
  </si>
  <si>
    <t>10 porções</t>
  </si>
  <si>
    <t>Geladeira: até 3 dias em recipiente de vidro bem fechado.
Não é recomendado congelar, pois pode ocorrer separação da emulsão e alteração da textura.
Sugestões de substituição
Manga → pêssego, damasco fresco ou abacaxi.
Mel → melado de cana ou xarope de bordo (maple syrup).
Vinagre de maçã → suco de limão ou vinagre de vinho branco.
Salsa → hortelã, manjericão ou coentro.
Dica da Nutri Lu
O azeite de oliva extravirgem é rico em gorduras monoinsaturadas e compostos fenólicos, que fazem parte do padrão alimentar mediterrâneo e estão associados à saúde cardiovascular. Apesar dos benefícios, continua sendo um alimento calórico. A quantidade ideal é cerca de 1 a 2 colheres de sopa por refeição, utilizando o molho para realçar o sabor da salada sem exageros.
Combinações sugeridas
Este molho harmoniza muito bem com:
Mix de folhas verdes
Frango grelhado
Peixes
Camarão
Salada de quinoa
Queijo minas frescal
Muçarela de búfala
Tomate-cereja
Pepino
Cenoura ralada
Descrição para geração da foto por IA
Molho de manga de coloração amarelo-dourada, textura cremosa e brilhante, servido em uma pequena molheira branca de porcelana sobre uma tábua de madeira clara. Ao redor, folhas verdes frescas, cubos de manga, salsa picada e grãos de pimenta-do-reino. Iluminação natural lateral, fotografia gastronômica profissional, estilo clean e sofisticado, com aparência fresca e apetitosa.
Tags
Molho • Salada • Manga • Azeite • Sem lactose • Sem glúten • Vegetariano • Mediterrâneo • Verão • Molho caseiro
O simples funciona!
( o formato Gugu vai colocar pra mim )
12:46</t>
  </si>
  <si>
    <t>Manga → pêssego, damasco fresco ou abacaxi.
Mel → melado de cana ou xarope de bordo (maple syrup).
Vinagre de maçã → suco de limão ou vinagre de vinho branco.
Salsa → hortelã, manjericão ou coentro.</t>
  </si>
  <si>
    <t>Molho amarelo-alaranjado, cremoso e brilhante, servido em pequena molheira ao lado de folhas verdes frescas.</t>
  </si>
  <si>
    <t>NL-002</t>
  </si>
  <si>
    <t>Quibe de Forno de Quinoa Recheado com Cottage, Cenoura e Azeitonas</t>
  </si>
  <si>
    <t>Almoço ou jantar</t>
  </si>
  <si>
    <t>Rico em proteínas • Rico em fibras • Sem glúten* • Fonte de ferro • Pode ser sem lactose Desde que todos os ingredientes utilizados sejam certificados sem glúten.</t>
  </si>
  <si>
    <t>25 minutos</t>
  </si>
  <si>
    <t>Massa
500 g de carne moída magra (patinho ou coxão mole)
2 xícaras (chá) de quinoa cozida (aproximadamente 340 g)
1 ovo inteiro (50 g)
1 cebola média picada em cubos pequenos (120 g)
3 dentes de alho picados (10 g)
Hortelã fresca picada a gosto (15 g)
½ xícara (chá) de cheiro-verde picado (25 g)
100 g de azeitonas verdes picadas
Sal a gosto
Pimenta-do-reino a gosto
Recheio
1 pote de Cottage LacFree (200 g) ou 200 g de ricota amassada
1 cenoura média ralada (100 g)
Sal a gosto
Pimenta-do-reino a gosto
Hortelã picada (opcional)
Finalização
1 colher (sopa) de azeite de oliva extravirgem (15 ml)</t>
  </si>
  <si>
    <t>Cozinhe a quinoa conforme as instruções da embalagem e deixe esfriar completamente.
Em uma tigela grande, misture a carne moída, a quinoa cozida, o ovo, a cebola, o alho, a hortelã, o cheiro-verde, as azeitonas, o sal e a pimenta-do-reino.
Misture bem até formar uma massa homogênea.
Em outro recipiente, misture o cottage (ou a ricota) com a cenoura ralada e ajuste os temperos.
Unte levemente uma travessa.
Distribua metade da massa do quibe no fundo da travessa.
Espalhe todo o recheio uniformemente.
Cubra com o restante da massa.
Com uma faca, faça cortes em formato de losangos na superfície.
Regue com o azeite de oliva.
Cubra com papel-alumínio.
Asse em forno preaquecido a 200°C por aproximadamente 30 minutos.
Retire o papel-alumínio e deixe assar por mais 10 a 15 minutos, até dourar levemente.
Aguarde cerca de 10 minutos antes de cortar.</t>
  </si>
  <si>
    <t>Geladeira: até 3 dias.
Freezer: até 90 dias em porções individuais.
Sugestões de substituição
Carne bovina → frango moído ou carne de peru.
Cottage → ricota, cottage tradicional ou tofu amassado.
Quinoa → trigo para quibe (para quem não necessita de uma versão sem glúten).
Cenoura → abobrinha ralada ou espinafre refogado.
Azeitona verde → azeitona preta.
Dica da Nutri Lu
A quinoa aumenta o teor de fibras e melhora o perfil nutricional do quibe, além de contribuir para maior saciedade. O recheio de cottage ou ricota deixa a preparação mais cremosa e acrescenta proteína de alta qualidade. É uma excelente opção para preparar em maior quantidade, congelar em porções e facilitar a rotina alimentar durante a semana.
13:11</t>
  </si>
  <si>
    <t>Carne bovina → frango moído ou carne de peru.
Cottage → ricota, cottage tradicional ou tofu amassado.
Quinoa → trigo para quibe (para quem não necessita de uma versão sem glúten).
Cenoura → abobrinha ralada ou espinafre refogado.
Azeitona verde → azeitona preta.</t>
  </si>
  <si>
    <t>Fatia retangular de quibe assado, dourada por cima, com recheio claro de cottage e pontos de cenoura e azeitona visíveis.</t>
  </si>
  <si>
    <t>NL-003</t>
  </si>
  <si>
    <t>Quiche de Grão-de-Bico com Espinafre e Ricota</t>
  </si>
  <si>
    <t>Almoço • Jantar</t>
  </si>
  <si>
    <t>Rica em proteínas • Rica em fibras • Vegetariana • Sem glúten* • Pode ser sem lactose Desde que todos os ingredientes utilizados sejam certificados sem glúten.</t>
  </si>
  <si>
    <t>Massa
500 g de grão-de-bico cozido e escorrido
1 cebola média bem picada ou ralada (120 g)
4 dentes de alho amassados (12 g)
½ xícara (chá) de salsa e cebolinha picadas (30 g)
2 colheres (sopa) de azeite de oliva extravirgem (30 ml)
Sal a gosto
Pimenta-do-reino a gosto
Recheio
300 g de ricota fresca amassada ou 300 g de cottage LacFree
2 maços de espinafre refogados e muito bem escorridos (aproximadamente 300 g após o preparo)
1 ovo inteiro (50 g)
2 a 4 colheres (sopa) de leite de arroz (30 a 60 ml), apenas se necessário para deixar o recheio mais cremoso
Sal a gosto
Pimenta-do-reino a gosto
Noz-moscada a gosto (opcional)
100 g de tomates-cereja para decorar</t>
  </si>
  <si>
    <t>Massa
Cozinhe previamente o grão-de-bico até que esteja macio e escorra completamente.
Coloque no processador o grão-de-bico, a cebola, o alho, a salsa, a cebolinha, o sal e a pimenta-do-reino.
Bata até obter uma massa homogênea, mantendo uma leve textura.
Transfira para uma tigela e misture o azeite até incorporar completamente.
Unte uma forma de fundo removível (24 cm) com azeite.
Distribua a massa no fundo e nas laterais da forma, pressionando delicadamente.
Recheio
Refogue rapidamente o espinafre até murchar.
Escorra muito bem toda a água para evitar excesso de umidade.
Misture a ricota (ou cottage), o espinafre, o ovo e os temperos.
Se necessário, acrescente o leite de arroz aos poucos até atingir uma consistência cremosa.
Espalhe o recheio sobre a massa.
Distribua os tomates-cereja sobre a superfície.
Finalização
Leve ao forno preaquecido a 180°C.
Asse por aproximadamente 30 minutos, ou até que a superfície esteja levemente dourada.
Retire do forno e aguarde cerca de 10 minutos antes de desenformar.</t>
  </si>
  <si>
    <t>8 porções</t>
  </si>
  <si>
    <t>Geladeira: até 3 dias, em recipiente fechado.</t>
  </si>
  <si>
    <t>Ricota → Cottage LacFree, queijo minas frescal light ou tofu firme.
Espinafre → Couve, escarola ou brócolis picado.
Leite de arroz → Bebida de aveia sem açúcar ou leite desnatado.
Salsa e cebolinha → Cheiro-verde.
Tomate-cereja → Tomate italiano em fatias.</t>
  </si>
  <si>
    <t>Fatia de quiche de bordas douradas, recheio verde-claro de espinafre e ricota, servida com pequena salada lateral.</t>
  </si>
  <si>
    <t>NL-004</t>
  </si>
  <si>
    <t>Salada Janeiro</t>
  </si>
  <si>
    <t>Vegetariana • Rica em fibras • Fonte de gorduras insaturadas • Sem glúten • Pode ser sem lactose (substituindo o queijo feta)</t>
  </si>
  <si>
    <t>20 minutos</t>
  </si>
  <si>
    <t>Salada
4 xícaras (chá) de folhas verdes (rúcula ou mix de folhas) (120 g)
3 beterrabas médias cozidas e cortadas em cubos (300 g)
3 laranjas médias sem casca e sem sementes, em gomos (360 g)
Queijo feta esfarelado (150 g)
1 cebola roxa média fatiada finamente (100 g)
¼ de xícara (chá) de salsa fresca picada (15 g)
½ xícara (chá) de nozes picadas (50 g)
Molho
3 colheres (sopa) de azeite de oliva extravirgem (45 ml)
1 colher (sopa) de mel (20 g)
Sal a gosto
Pimenta-do-reino moída na hora a gosto</t>
  </si>
  <si>
    <t>Cozinhe as beterrabas até ficarem macias. Aguarde esfriar, descasque e corte em cubos médios.
Higienize e seque bem as folhas.
Descasque as laranjas retirando toda a parte branca e corte em gomos.
Fatie finamente a cebola roxa.
Pique grosseiramente as nozes.
Em uma saladeira, disponha as folhas verdes.
Acrescente a beterraba, os gomos de laranja, a cebola roxa e o queijo feta esfarelado.
Finalize com a salsa picada e as nozes.
Molho
Misture o azeite, o mel, o sal e a pimenta-do-reino até formar uma emulsão.
Regue a salada apenas no momento de servir.</t>
  </si>
  <si>
    <t>6 porções</t>
  </si>
  <si>
    <t>Consumir preferencialmente no mesmo dia.
Se necessário, conservar refrigerada por até 24 horas, armazenando o molho separadamente.</t>
  </si>
  <si>
    <t>Queijo feta → queijo minas frescal, ricota temperada ou tofu firme.
Nozes → castanhas-do-pará, amêndoas ou castanha-de-caju.
Rúcula → agrião, alface-romana ou mix de folhas.
Mel → melado de cana ou xarope de bordo (maple syrup).
Laranja → tangerina ou grapefruit.</t>
  </si>
  <si>
    <t>Salada colorida e volumosa em prato raso, com ingredientes frescos distribuídos em camadas e acabamento leve de ervas.</t>
  </si>
  <si>
    <t>NL-005</t>
  </si>
  <si>
    <t>Torta de Frango da Lu</t>
  </si>
  <si>
    <t>Almoço • Jantar • Lanche • Pré ou pós-treino</t>
  </si>
  <si>
    <t>Rica em proteínas • Sem glúten* • Preparação para marmitas • Pode ser sem lactose Quando preparada com tapioca e ingredientes certificados sem glúten.</t>
  </si>
  <si>
    <t>15 minutos</t>
  </si>
  <si>
    <t>3 ovos inteiros (150 g)
300 g de peito de frango cozido e desfiado
½ pote de requeijão light (100 g)
¾ de xícara (chá) de goma de tapioca ou farinha de sua preferência (100 g)
⅔ de xícara (chá) de milho-verde cozido e escorrido (100 g)
1 cenoura média ralada (100 g)
2 xícaras (chá) de couve-flor ou brócolis cozidos e picados (200 g)
1 xícara (chá) de queijo muçarela ralado (100 g)
1 colher (sopa) de fermento químico em pó (12 g)
Sal a gosto
Pimenta-do-reino a gosto
Páprica, cúrcuma, orégano e cheiro-verde a gosto
Para a padronização da receita e o cálculo nutricional, foi considerada a utilização de 100 g de queijo muçarela.</t>
  </si>
  <si>
    <t>Preaqueça o forno a 180°C.
Cozinhe o peito de frango, desfie e reserve.
Cozinhe rapidamente o brócolis ou a couve-flor, deixando os vegetais macios, mas ainda firmes.
Escorra muito bem os vegetais e pique em pedaços pequenos. Esse cuidado evita que a torta fique excessivamente úmida.
Em uma tigela grande, bata levemente os ovos com um garfo ou fouet.
Acrescente o requeijão light e misture até formar um creme homogêneo.
Adicione a tapioca e misture novamente.
Junte o frango desfiado, o milho, a cenoura, o brócolis ou a couve-flor e metade da muçarela.
Tempere com sal, pimenta-do-reino, páprica, cúrcuma, orégano e cheiro-verde.
Misture todos os ingredientes até que fiquem bem distribuídos.
Acrescente o fermento químico por último e misture delicadamente.
Divida a massa entre 6 marmitinhas individuais próprias para forno, untadas levemente, ou coloque em uma assadeira média.
Distribua o restante da muçarela sobre as porções.
Leve ao forno preaquecido a 180°C por aproximadamente 30 minutos, ou até que a torta esteja firme e levemente dourada.
Retire do forno e aguarde cerca de 5 minutos antes de servir ou tampar as marmitinhas.</t>
  </si>
  <si>
    <t>6 porções individuais</t>
  </si>
  <si>
    <t>Geladeira: até 3 dias, em recipiente bem fechado.
Espere a preparação esfriar antes de tampar e refrigerar, evitando o acúmulo excessivo de umidade.</t>
  </si>
  <si>
    <t>Tapioca → farinha de aveia, farinha de arroz ou farinha de grão-de-bico.
Requeijão light → creme de ricota, cottage batido ou requeijão sem lactose.
Muçarela → queijo minas padrão light, muçarela sem lactose ou queijo vegetal.
Milho → ervilha, abobrinha picada ou palmito.
Brócolis → couve-flor, espinafre ou abobrinha.
Frango → atum escorrido ou carne moída magra.
A substituição da tapioca por outra farinha modifica a textura e os valores nutricionais da receita.</t>
  </si>
  <si>
    <t>Fatia alta de torta dourada, com frango desfiado e vegetais aparentes no corte, servida em prato claro.</t>
  </si>
  <si>
    <t>NL-006</t>
  </si>
  <si>
    <t>Abobrinha Grelhada com Alho e Molho de Azeitonas Verdes</t>
  </si>
  <si>
    <t>Almoço • Jantar • Acompanhamento</t>
  </si>
  <si>
    <t>Vegetariana • Sem glúten • Sem lactose • Low Carb • Rica em gorduras insaturadas</t>
  </si>
  <si>
    <t>10 minutos</t>
  </si>
  <si>
    <t>Abobrinha
1 abobrinha italiana média (200 g)
1 dente de alho inteiro (3 g)
1 colher (sopa) rasa de azeite de oliva extravirgem (8 ml)
Sal a gosto
Pimenta-do-reino moída na hora a gosto
Molho de azeitonas verdes
10 azeitonas verdes sem caroço (40 g)
4 colheres (sopa) rasas de azeite de oliva extravirgem (32 ml)
Suco de 2 limões médios (80 ml)
1 colher (sopa) cheia de manjericão fresco picado (6 g)</t>
  </si>
  <si>
    <t>Abobrinha
Lave bem a abobrinha.
Corte-a ao meio no sentido do comprimento e depois em fatias de aproximadamente 0,5 cm em formato de meia-lua.
Aqueça uma frigideira em fogo médio.
Acrescente o azeite e o dente de alho inteiro apenas para aromatizar.
Disponha as fatias de abobrinha em uma única camada.
Grelhe por aproximadamente 3 a 4 minutos de cada lado ou até dourarem levemente.
Tempere com sal e pimenta-do-reino.
Retire o alho antes de servir.
Molho
Pique finamente as azeitonas verdes.
Extraia o suco dos limões.
Misture o azeite, o suco de limão, o manjericão e as azeitonas até formar um molho homogêneo.
Regue a abobrinha apenas na hora de servir.</t>
  </si>
  <si>
    <t>2 porções</t>
  </si>
  <si>
    <t>Consumir preferencialmente logo após o preparo.
Caso necessário, conservar em recipiente fechado na geladeira por até 2 dias, mantendo o molho separado da abobrinha para preservar a textura.</t>
  </si>
  <si>
    <t>Abobrinha italiana → abobrinha amarela.
Manjericão → salsa, hortelã ou cheiro-verde.
Azeitona verde → azeitona preta.
Limão → limão-siciliano.</t>
  </si>
  <si>
    <t>Fatias de abobrinha com marcas de grelha, dispostas em leque e finalizadas com molho verde de azeitonas e ervas.</t>
  </si>
  <si>
    <t>NL-007</t>
  </si>
  <si>
    <t>Batata Recheada com Frango e Muçarela</t>
  </si>
  <si>
    <t>Rica em proteínas • Sem glúten • Preparação para forno • Marmita</t>
  </si>
  <si>
    <t>Médio</t>
  </si>
  <si>
    <t>4 batatas médias com casca (440 g)
Sal a gosto
Pimenta-do-reino moída na hora a gosto
4 fatias médias de queijo muçarela (80 g)
1 colher (sopa) de manteiga (19 g)
200 g de peito de frango cozido e desfiado
½ colher (chá) de alecrim seco (2 g)
1 cebola pequena picada (30 g)
2 colheres (sopa) rasas de azeite de oliva extravirgem (16 ml)
2 ovos (100 g)
2 colheres (sopa) de queijo parmesão ralado (30 g)</t>
  </si>
  <si>
    <t>Preaqueça o forno a 200°C.
Disponha as batatas em uma assadeira untada com um fio de azeite.
Cubra com papel-alumínio e asse por aproximadamente 30 minutos.
Retire o papel-alumínio e asse por mais 20 minutos, ou até que as batatas estejam macias.
Corte cada batata ao meio no sentido do comprimento.
Com uma colher, retire cuidadosamente parte da polpa, deixando aproximadamente 1 cm de espessura nas laterais.
Amasse toda a polpa ainda quente e reserve.
Tempere as cascas com sal e pimenta-do-reino.
Retorne as cascas ao forno por 10 minutos, deixando-as levemente crocantes.
Recheio
Separe as claras das gemas.
Misture à polpa da batata:
* manteiga
* muçarela
* gemas
Reserve.
Em uma frigideira aqueça o azeite.
Refogue a cebola até ficar transparente.
Acrescente o frango desfiado.
Tempere com sal, pimenta-do-reino e alecrim.
Refogue por aproximadamente 5 minutos.
Bata as claras em neve.
Misture delicadamente o frango ao purê de batata.
Incorpore as claras em neve aos poucos, mexendo suavemente para manter a leveza.
Recheie todas as cascas de batata.
Polvilhe o queijo parmesão sobre cada uma.
Leve novamente ao forno por aproximadamente 20 minutos, ou até gratinar.</t>
  </si>
  <si>
    <t>4 porções</t>
  </si>
  <si>
    <t>Geladeira: até 3 dias, em recipiente bem fechado.</t>
  </si>
  <si>
    <t>Muçarela → queijo minas padrão light, cottage ou muçarela sem lactose.
Frango → carne moída magra, atum ou peito de peru desfiado.
Manteiga → azeite de oliva extravirgem.
Alecrim → orégano, tomilho ou páprica defumada.
Batata inglesa → batata-doce ou mandioquinha.</t>
  </si>
  <si>
    <t>Meia batata assada bem recheada, cobertura gratinada de muçarela e frango visível, acompanhada de folhas verdes.</t>
  </si>
  <si>
    <t>NL-008</t>
  </si>
  <si>
    <t>Hambúrguer de Quinoa</t>
  </si>
  <si>
    <t>Almoço • Jantar • Lanche</t>
  </si>
  <si>
    <t>Vegetariano • Rico em fibras • Fonte de proteínas vegetais • Sem lactose • Pode ser sem glúten* Desde que a farinha de aveia utilizada seja certificada sem glúten.</t>
  </si>
  <si>
    <t>1 xícara (chá) de quinoa em grãos (170 g)
3 colheres (sopa) cheias de farinha de aveia (54 g)
3 colheres (sopa) de azeite de oliva extravirgem (45 ml)
2 dentes de alho amassados (6 g)
Sal a gosto
Pimenta-do-reino moída na hora a gosto
Páprica doce ou defumada a gosto
Noz-moscada ralada a gosto</t>
  </si>
  <si>
    <t>Lave bem a quinoa em água corrente.
Coloque-a em uma panela e cubra com água cerca de dois dedos acima dos grãos.
Acrescente uma pitada de sal e cozinhe em fogo médio até toda a água secar.
Desligue o fogo e deixe a quinoa esfriar completamente.
Transfira a quinoa para uma tigela.
Acrescente a farinha de aveia aos poucos.
Adicione o alho, o azeite, o sal, a pimenta-do-reino, a páprica e a noz-moscada.
Misture bem até formar uma massa firme e moldável.
Se necessário, acrescente um pouco mais de farinha de aveia para dar ponto.
Modele 4 hambúrgueres de espessura uniforme.
Disponha-os em uma assadeira levemente untada com azeite.
Leve ao forno preaquecido a 200°C por aproximadamente 15 minutos.
Vire os hambúrgueres cuidadosamente e asse por mais 15 minutos, até dourarem dos dois lados.</t>
  </si>
  <si>
    <t>4 hambúrgueres</t>
  </si>
  <si>
    <t>Geladeira: até 4 dias, em recipiente fechado.</t>
  </si>
  <si>
    <t>Farinha de aveia → farinha de arroz, farinha de grão-de-bico ou farinha de quinoa.
Quinoa branca → quinoa tricolor.
Páprica doce → páprica defumada ou cúrcuma.
Azeite → óleo de abacate.</t>
  </si>
  <si>
    <t>Hambúrguer vegetal redondo e dourado, servido no prato com folhas, tomate e legumes, sem pão.</t>
  </si>
  <si>
    <t>NL-009</t>
  </si>
  <si>
    <t>Filé de Peixe Mediterrâneo</t>
  </si>
  <si>
    <t>Rico em proteínas • Sem glúten • Sem lactose • Baixo carboidrato • Dieta Mediterrânea</t>
  </si>
  <si>
    <t>Peixe
2 filés médios de cação ou outro peixe branco firme (tilápia, linguado, robalo ou namorado) (240 g)
Sal a gosto
Pimenta-do-reino moída na hora a gosto
Molho Mediterrâneo
1 colher (sopa) rasa de coentro desidratado (5 g)
1½ colher (chá) de cominho em pó (4,5 g)
1½ colher (chá) de endro (dill) seco (6 g)
1 colher (chá) de cúrcuma (2 g)
1 cebola média picada (70 g)
8 dentes de alho picados (24 g)
1 pimentão verde médio picado (55 g)
5 tomates médios em cubos (500 g)
4 colheres (sopa) de extrato de tomate (80 g)
Suco de 1 limão médio (40 ml)
½ copo americano de água (120 ml)
4 colheres (sopa) de salsa fresca picada (24 g)
2 colheres (sopa) de azeite de oliva extravirgem (16 ml)</t>
  </si>
  <si>
    <t>Em uma tigela, misture o coentro, o cominho, o endro e a cúrcuma. Reserve.
Tempere os filés de peixe com sal, pimenta-do-reino e metade da mistura de especiarias.
Aqueça o azeite em uma frigideira grande.
Refogue a cebola por aproximadamente 2 minutos.
Acrescente o alho e o pimentão e refogue até ficarem levemente macios.
Adicione os tomates, o extrato de tomate, o suco de limão, a água e o restante das especiarias.
Misture bem e cozinhe por cerca de 10 minutos, em fogo baixo, até formar um molho encorpado.
Disponha cuidadosamente os filés sobre o molho.
Tampe a panela e cozinhe por aproximadamente 10 a 15 minutos, ou até que o peixe esteja completamente cozido.
Finalize com a salsa fresca picada e sirva imediatamente.</t>
  </si>
  <si>
    <t>Geladeira: até 2 dias, em recipiente fechado.</t>
  </si>
  <si>
    <t>Cação → tilápia, linguado, robalo, pescada-amarela ou namorado.
Pimentão verde → pimentão vermelho ou amarelo.
Endro (dill) → erva-doce fresca ou salsinha.
Coentro → salsa fresca.
Extrato de tomate → tomates pelados triturados.</t>
  </si>
  <si>
    <t>Filé de peixe branco coberto por molho rústico de tomate, pimentão e ervas, com cores mediterrâneas vivas.</t>
  </si>
  <si>
    <t>NL-010</t>
  </si>
  <si>
    <t>Filé Mignon com Risoto de Alho-Poró</t>
  </si>
  <si>
    <t>Rico em proteínas • Fonte de carboidratos • Sem glúten • Refeição completa</t>
  </si>
  <si>
    <t>Filé mignon
2 medalhões médios de filé mignon (240 g)
Sal a gosto
Pimenta-do-reino moída na hora a gosto
2 colheres (sopa) rasas de óleo de soja (16 ml)
Risoto de alho-poró
1 xícara (chá) de alho-poró fatiado (71 g)
½ colher (sopa) de azeite de oliva extravirgem (4 ml)
1 xícara (chá) de arroz arbóreo (148 g)
1 taça de vinho branco seco (150 ml) (opcional)
250 ml de água quente ou caldo de legumes caseiro
Sal a gosto
Salsinha picada a gosto</t>
  </si>
  <si>
    <t>Filé mignon
Tempere os medalhões com sal e pimenta-do-reino.
Aqueça bem uma frigideira.
Acrescente o óleo e sele os medalhões por aproximadamente 3 a 4 minutos de cada lado, ou até atingir o ponto desejado.
Retire da frigideira e deixe descansar por cerca de 5 minutos antes de servir.
Risoto
Aqueça o azeite em uma panela.
Refogue o alho-poró até ficar levemente transparente.
Acrescente o arroz arbóreo e mexa por aproximadamente 2 minutos.
Adicione o vinho branco e deixe evaporar completamente.
Acrescente metade da água quente.
Mexa continuamente e vá adicionando o restante da água aos poucos, conforme o líquido for sendo absorvido.
Cozinhe até o arroz ficar al dente e o risoto adquirir textura cremosa.
Ajuste o sal.
Finalize com salsinha picada.</t>
  </si>
  <si>
    <t>Geladeira: até 3 dias em recipiente fechado.</t>
  </si>
  <si>
    <t>Filé mignon → contrafilé magro, alcatra, patinho ou filé de frango.
Arroz arbóreo → arroz integral (não terá textura de risoto).
Vinho branco → caldo de legumes caseiro.
Alho-poró → cebola ou erva-doce.
Óleo de soja → azeite de oliva extravirgem.</t>
  </si>
  <si>
    <t>Medalhão de filé mignon selado ao lado de risoto cremoso de alho-poró, finalizado com salsinha.</t>
  </si>
  <si>
    <t>NL-011</t>
  </si>
  <si>
    <t>Pão de Frango da Nutri Lu</t>
  </si>
  <si>
    <t>Café da manhã • Lanche • Pré-treino • Pós-treino</t>
  </si>
  <si>
    <t>Rico em proteínas • Sem glúten* • Baixo carboidrato • Pode ser sem lactose Quando preparado com fermento e temperos certificados sem glúten.</t>
  </si>
  <si>
    <t>3 ovos inteiros (150 g)
200 g de peito de frango cozido e desfiado
2 fatias de queijo muçarela (40 g)
3 colheres (sopa) de água (45 ml)
1 colher (sopa) de fermento químico em pó (12 g)
Sal a gosto
Pimenta-do-reino moída na hora a gosto
Orégano a gosto
Gergelim branco e preto para finalizar (10 g)</t>
  </si>
  <si>
    <t>Preaqueça o forno a 180°C.
Unte levemente uma forma tipo bolo inglês.
Coloque no liquidificador os ovos, o frango desfiado, a muçarela, a água, o sal, a pimenta-do-reino e o orégano.
Bata por aproximadamente 2 minutos, até obter uma massa homogênea.
Acrescente o fermento químico por último e misture delicadamente apenas para incorporá-lo.
Despeje a massa na forma.
Salpique o gergelim sobre toda a superfície.
Asse em forno preaquecido a 180°C por aproximadamente 25 minutos, ou até dourar.
Faça o teste do palito. Se sair limpo, retire do forno.
Aguarde cerca de 10 minutos antes de desenformar.
Corte ao meio, formando 2 sanduíches médios, ou recheie conforme sua preferência.</t>
  </si>
  <si>
    <t>2 sanduíches médios</t>
  </si>
  <si>
    <t>Geladeira: até 4 dias, em recipiente bem fechado.</t>
  </si>
  <si>
    <t>Muçarela → queijo minas light, cottage firme ou muçarela sem lactose.
Orégano → ervas finas, alecrim ou chimichurri.
Gergelim → chia, linhaça ou mix de sementes.
Frango → atum em água escorrido ou peito de peru desfiado.</t>
  </si>
  <si>
    <t>Fatias de pão proteico dourado em formato de bolo inglês, com miolo claro e sementes sobre a casca.</t>
  </si>
  <si>
    <t>NL-012</t>
  </si>
  <si>
    <t>Lasanha de Carne com Abobrinha na Air Fryer</t>
  </si>
  <si>
    <t>Rica em proteínas • Sem glúten • Baixo carboidrato • Air Fryer</t>
  </si>
  <si>
    <t>300 g de carne moída magra (patinho)
150 g de batata inglesa cozida e amassada
50 g de abobrinha italiana cortada em fatias finas
40 g de requeijão cremoso light
3 fatias de queijo muçarela (60 g)
30 g de molho de tomate caseiro
2 dentes de alho picados (6 g)
¼ de cebola picada (30 g)
2 colheres (sopa) de salsinha picada (10 g)
Orégano a gosto
Sal e pimenta-do-reino a gosto</t>
  </si>
  <si>
    <t>Tempere a carne moída com alho, cebola, salsinha, sal e pimenta-do-reino.
Refogue até que fique completamente cozida e toda a água evapore.
Acrescente a batata cozida e amassada.
Misture até formar uma massa homogênea.
Corte a abobrinha em fatias bem finas.
Coloque as fatias sobre papel-toalha, salpique uma pequena quantidade de sal e deixe descansar por 15 minutos para retirar o excesso de água.
Seque bem as fatias antes da montagem.
Montagem
Em um refratário próprio para Air Fryer, coloque metade da massa de carne.
Espalhe metade do requeijão.
Distribua as fatias de abobrinha.
Cubra com o restante do requeijão.
Finalize com o restante da massa.
Espalhe o molho de tomate sobre toda a superfície.
Leve à Air Fryer preaquecida a 180°C por aproximadamente 30 minutos.
Retire cuidadosamente.
Cubra com a muçarela.
Salpique orégano.
Retorne à Air Fryer por mais 3 a 5 minutos, apenas para gratinar.</t>
  </si>
  <si>
    <t>6 fatias</t>
  </si>
  <si>
    <t>Carne bovina → frango desfiado, carne de peru ou proteína de soja texturizada.
Requeijão light → cottage batido ou creme de ricota.
Muçarela → muçarela sem lactose ou queijo minas padrão light.
Batata inglesa → batata-doce, mandioquinha ou couve-flor cozida.
Abobrinha → berinjela em fatias finas.</t>
  </si>
  <si>
    <t>Fatia de lasanha compacta, camadas de carne e abobrinha visíveis, cobertura de muçarela gratinada.</t>
  </si>
  <si>
    <t>NL-013</t>
  </si>
  <si>
    <t>Salada Morna de Quinoa com Frango e Legumes Assados</t>
  </si>
  <si>
    <t>Rica em proteínas • Rica em fibras • Sem glúten • Sem lactose • Refeição completa</t>
  </si>
  <si>
    <t>Legumes assados
1 abobrinha italiana média em cubos (200 g)
200 g de abóbora cabotiá em cubos
1 brócolis pequeno em floretes (300 g)
1 cebola roxa média em cubos (120 g)
1 xícara (chá) de tomate-cereja (150 g)
2 colheres (sopa) de azeite de oliva extravirgem (30 ml)
Sal a gosto
Pimenta-do-reino moída na hora a gosto
Manjericão seco ou fresco a gosto
Quinoa
1 xícara (chá) de quinoa tricolor ou branca (170 g)
2 xícaras (chá) de água (480 ml)
Sal a gosto
Frango
300 g de peito de frango cozido e desfiado
½ cebola pequena picada (40 g)
2 dentes de alho picados (6 g)
1 colher (chá) de açafrão-da-terra (cúrcuma)
1 colher (sopa) de azeite (15 ml)
Sal e pimenta-do-reino a gosto
Finalização
½ pimenta dedo-de-moça sem sementes picada
2 colheres (sopa) de salsinha picada (10 g)
Suco de 1 limão
Azeite extravirgem a gosto (opcional)</t>
  </si>
  <si>
    <t>Legumes
Preaqueça o forno a 200°C.
Misture a abobrinha, a abóbora, o brócolis e a cebola com o azeite, o sal, a pimenta e o manjericão.
Distribua os legumes em uma assadeira, sem sobrepor.
Asse por aproximadamente 30 minutos.
Acrescente os tomates-cereja e retorne ao forno por mais 5 minutos.
Quinoa
Lave bem a quinoa em água corrente.
Coloque em uma panela com a água e uma pitada de sal.
Cozinhe em fogo baixo até toda a água secar, como no preparo do arroz.
Solte os grãos com um garfo e reserve.
Frango
Aqueça o azeite em uma frigideira.
Refogue a cebola até ficar transparente.
Acrescente o alho.
Junte o frango desfiado.
Tempere com cúrcuma, sal e pimenta-do-reino.
Refogue até ficar levemente dourado.
Montagem
Em uma travessa grande misture a quinoa cozida, os legumes assados e o frango.
Acrescente a salsinha, a pimenta dedo-de-moça e o suco de limão.
Misture delicadamente.
Se desejar, finalize com um fio de azeite extravirgem antes de servir.</t>
  </si>
  <si>
    <t>Quinoa → arroz integral ou trigo-sarraceno.
Frango → filé de peixe grelhado, carne bovina magra ou grão-de-bico para versão vegetariana.
Abóbora cabotiá → batata-doce ou cenoura.
Brócolis → couve-flor.
Limão → limão-siciliano.</t>
  </si>
  <si>
    <t>Bowl colorido com quinoa, frango desfiado e legumes assados, finalizado com salsinha e limão.</t>
  </si>
  <si>
    <t>NL-014</t>
  </si>
  <si>
    <t>Crepioca Recheada com Frango e Queijo</t>
  </si>
  <si>
    <t>Rica em proteínas • Sem glúten* • Refeição rápida • Pode ser sem lactose Desde que a goma de tapioca e os demais ingredientes sejam certificados sem glúten.</t>
  </si>
  <si>
    <t>Massa
1 ovo inteiro (50 g)
2 colheres (sopa) de goma de tapioca hidratada (30 g)
1 colher (café) de requeijão light (5 g)
Sal a gosto
Orégano a gosto
Recheio
50 g de peito de frango cozido, desfiado e refogado
1 fatia média de queijo muçarela ou queijo de sua preferência (20 g)
Pimenta-do-reino a gosto</t>
  </si>
  <si>
    <t>Coloque o ovo em uma tigela e bata levemente com um garfo.
Acrescente a goma de tapioca, o requeijão light, o sal e o orégano.
Misture bem até obter uma massa uniforme.
Aqueça uma frigideira antiaderente pequena em fogo baixo.
Despeje a mistura e espalhe delicadamente, formando um disco.
Cozinhe por aproximadamente 2 minutos, até que a parte de baixo esteja firme e levemente dourada.
Vire cuidadosamente com uma espátula.
Distribua o frango desfiado e a fatia de queijo sobre metade da crepioca.
Tempere o recheio com pimenta-do-reino e orégano, se desejar.
Dobre a crepioca ao meio, cobrindo o recheio.
Tampe a frigideira e mantenha em fogo baixo por mais 1 a 2 minutos, até o queijo derreter.
Retire da frigideira e sirva imediatamente.</t>
  </si>
  <si>
    <t>1 crepioca recheada</t>
  </si>
  <si>
    <t>Consumir preferencialmente logo após o preparo.
Caso necessário, conservar na geladeira por até 24 horas, em recipiente fechado.</t>
  </si>
  <si>
    <t>Requeijão light → creme de ricota, cottage ou requeijão sem lactose.
Muçarela → queijo minas, ricota, cottage ou muçarela sem lactose.
Frango → atum escorrido, carne moída magra ou queijo com tomate.
Ovo inteiro → 1 ovo e 1 clara, para aumentar o teor proteico.
Orégano → salsa, cebolinha, páprica ou ervas finas.</t>
  </si>
  <si>
    <t>Crepioca dobrada ao meio, levemente dourada, com recheio de frango e queijo aparecendo no corte.</t>
  </si>
  <si>
    <t>NL-015</t>
  </si>
  <si>
    <t>Nuvem de Claras com Muçarela</t>
  </si>
  <si>
    <t>Lanche • Aperitivo • Pré ou pós-treino</t>
  </si>
  <si>
    <t>Low Carb • Cetogênica • Rica em proteínas • Sem glúten</t>
  </si>
  <si>
    <t>Muito fácil</t>
  </si>
  <si>
    <t>3 claras de ovos (100 g)
100 g de queijo muçarela ralado
Sal a gosto
Pimenta-do-reino a gosto
Orégano a gosto
Páprica defumada (opcional)
Alho em pó (opcional)</t>
  </si>
  <si>
    <t>Preaqueça o forno ou a Air Fryer a 180°C.
Bata as claras em neve até formar picos firmes.
Acrescente delicadamente a muçarela ralada.
Tempere com sal, pimenta-do-reino, orégano e os temperos de sua preferência.
Misture cuidadosamente para manter a leveza das claras.
Forre uma assadeira ou o cesto da Air Fryer com papel manteiga.
Distribua a mistura em 3 porções iguais, formando discos ou montinhos levemente achatados.
Leve ao forno ou Air Fryer por 12 a 15 minutos, até dourar e ficar levemente crocante nas bordas.
Aguarde alguns minutos antes de servir.</t>
  </si>
  <si>
    <t>3 porções</t>
  </si>
  <si>
    <t>Geladeira: até 3 dias, em recipiente hermético.</t>
  </si>
  <si>
    <t>Muçarela → parmesão, queijo minas padrão ou muçarela sem lactose.
Orégano → ervas finas, chimichurri ou alecrim.
Páprica defumada → cúrcuma ou curry.</t>
  </si>
  <si>
    <t>Pequenas porções aeradas e douradas, semelhantes a nuvens salgadas, com queijo derretido e orégano.</t>
  </si>
  <si>
    <t>NL-016</t>
  </si>
  <si>
    <t>Pastel Proteico de Frango</t>
  </si>
  <si>
    <t>Almoço • Jantar • Lanche • Pós-treino</t>
  </si>
  <si>
    <t>Rico em proteínas • Low Carb • Sem farinha • Pode ser congelado</t>
  </si>
  <si>
    <t>Massa
120 g de peito de frango moído
Sal a gosto
Pimenta-do-reino a gosto
Páprica defumada a gosto
Curry a gosto
Recheio
1 colher (sopa) de requeijão light (20 g)
½ fatia de queijo muçarela (10 g)
Tomate em rodelas finas a gosto (20 g)
Rúcula a gosto (10 g)
Finalização
10 g de queijo parmesão ralado</t>
  </si>
  <si>
    <t>Tempere o peito de frango moído com sal, páprica defumada, curry e pimenta-do-reino.
Misture bem até formar uma massa homogênea.
Sobre uma folha de papel manteiga ou plástico culinário, abra o frango formando um retângulo fino, semelhante à massa de um pastel.
Espalhe o requeijão light sobre metade da massa.
Acrescente a muçarela, o tomate e a rúcula.
Feche cuidadosamente formando um pastel e pressione bem as bordas para evitar que o recheio escape.
Polvilhe o queijo parmesão ralado sobre toda a superfície.
Disponha o pastel na cesta da Air Fryer ou em uma assadeira forrada com papel manteiga.
Asse na Air Fryer a 160°C por 15 a 20 minutos, ou até dourar completamente.
Caso utilize forno convencional, asse em forno preaquecido a 180°C por aproximadamente 25 minutos.
Aguarde cerca de 3 minutos antes de servir para estabilizar o recheio.</t>
  </si>
  <si>
    <t>1 pastel grande</t>
  </si>
  <si>
    <t>Após o preparo, conservar em recipiente fechado por até 3 dias sob refrigeração.</t>
  </si>
  <si>
    <t>Frango moído → peito de peru moído ou carne bovina magra moída.
Requeijão light → cottage, ricota cremosa ou creme de ricota.
Muçarela → queijo minas padrão, prato light ou muçarela sem lactose.
Rúcula → espinafre, agrião ou alface.
Tomate → tomate-cereja picado ou tomate seco (em pequena quantidade).</t>
  </si>
  <si>
    <t>Pastel semicircular de massa de frango, dourado e firme, aberto levemente para mostrar queijo, tomate e rúcula.</t>
  </si>
  <si>
    <t>NL-017</t>
  </si>
  <si>
    <t>Sanduíche Gourmet de Filé Mignon com Abacaxi Grelhado</t>
  </si>
  <si>
    <t>Lanche • Almoço rápido • Jantar leve</t>
  </si>
  <si>
    <t>Rico em proteínas • Refeição completa • Gourmet • Alto teor de saciedade</t>
  </si>
  <si>
    <t>1 pão francês médio (50 g)
150 g de filé mignon em bife
2 fatias de abacaxi fresco (80 g)
1 colher (sopa) de maionese light (20 g)
1 colher (chá) de azeite de oliva (5 ml) ou apenas uma frigideira antiaderente
Sal a gosto
Pimenta-do-reino moída na hora a gosto
Alho em pó ou 1 dente de alho amassado (opcional)</t>
  </si>
  <si>
    <t>Tempere o filé mignon com sal, pimenta-do-reino e alho, se desejar.
Aqueça uma frigideira em fogo alto.
Adicione um fio de azeite ou utilize uma frigideira antiaderente.
Grelhe o filé mignon por aproximadamente 3 a 4 minutos de cada lado, ou até atingir o ponto desejado.
Retire a carne e deixe descansar por 2 minutos antes de montar o sanduíche.
Na mesma frigideira, coloque as fatias de abacaxi.
Grelhe dos dois lados até que fiquem douradas e levemente caramelizadas naturalmente, sem adicionar açúcar.
Corte o abacaxi em cubos.
Corte o pão francês ao meio.
Se desejar, aqueça o pão na torradeira ou na própria frigideira até ficar levemente crocante.
Espalhe a maionese light nas duas metades do pão.
Coloque o filé mignon grelhado.
Distribua os cubos de abacaxi caramelizado sobre a carne.
Feche o sanduíche e sirva imediatamente.</t>
  </si>
  <si>
    <t>1 sanduíche</t>
  </si>
  <si>
    <t>O ideal é consumir logo após o preparo.
Caso necessário, mantenha a carne e o abacaxi refrigerados por até 48 horas e monte o sanduíche somente na hora de consumir.</t>
  </si>
  <si>
    <t>Filé mignon → patinho grelhado, alcatra, contra-filé magro ou peito de frango.
Pão francês → pão integral, pão australiano integral ou pão sem glúten.
Maionese light → creme de ricota, cottage batido ou iogurte natural temperado.
Abacaxi → manga grelhada ou pêssego grelhado.</t>
  </si>
  <si>
    <t>Pão francês aberto com filé mignon, abacaxi com marcas de grelha e maionese leve, montagem alta e apetitosa.</t>
  </si>
  <si>
    <t>NL-018</t>
  </si>
  <si>
    <t>Bolo de Maçã com Aveia na Air Fryer</t>
  </si>
  <si>
    <t>Café da manhã • Lanche • Ceia</t>
  </si>
  <si>
    <t>Rico em fibras • Sem açúcar refinado • Vegetariano • Prático</t>
  </si>
  <si>
    <t>½ maçã ralada (65 g)
1 pitada de canela em pó
1 colher (sopa) de uvas-passas (10 g)
2 colheres (sopa) de aveia em flocos (15 g)
1 colher (sopa) de eritritol ou outro adoçante culinário (10 g)
1 ovo inteiro (50 g)
1 colher (chá) de fermento químico em pó (5 g)</t>
  </si>
  <si>
    <t>Preaqueça o forno a 180°C ou a Air Fryer na mesma temperatura.
Rale a maçã utilizando o lado grosso do ralador.
Em uma tigela, misture a maçã ralada, a canela, as uvas-passas, a aveia, o eritritol e o ovo batido.
Misture até obter uma massa homogênea.
Acrescente o fermento químico por último e incorpore delicadamente.
Unte um ramequim ou recipiente de aproximadamente 12 cm de diâmetro.
Despeje a massa no recipiente.
Asse no forno a 180°C por 20 a 25 minutos ou na Air Fryer a 180°C por 15 a 20 minutos, até dourar.
Faça o teste do palito. Se sair limpo, retire do forno.
Aguarde cerca de 5 minutos antes de servir.</t>
  </si>
  <si>
    <t>1 porção</t>
  </si>
  <si>
    <t>Consumir preferencialmente logo após o preparo.
Se necessário, conservar sob refrigeração por até 2 dias, em recipiente fechado.</t>
  </si>
  <si>
    <t>Maçã → pera ou banana madura.
Uvas-passas → cranberry sem açúcar ou damasco picado.
Eritritol → xilitol ou outro adoçante culinário.
Aveia → farelo de aveia ou farinha de aveia.
Canela → especiarias para torta de maçã (apple pie spice).</t>
  </si>
  <si>
    <t>Bolinho individual dourado, com pedaços de maçã e uvas-passas aparentes, polvilhado com canela.</t>
  </si>
  <si>
    <t>NL-019</t>
  </si>
  <si>
    <t>Omelete Caprese da Nutri Lu</t>
  </si>
  <si>
    <t>Café da manhã • Lanche • Jantar leve</t>
  </si>
  <si>
    <t>Rica em proteínas • Low Carb • Sem glúten • Vegetariana</t>
  </si>
  <si>
    <t>2 ovos inteiros (100 g)
1 fatia de queijo muçarela (20 g)
1 tomate pequeno em rodelas finas (60 g)
Folhas de manjericão fresco a gosto
1 colher (chá) de azeite de oliva (5 ml) ou spray de azeite
Sal a gosto
Pimenta-do-reino moída na hora a gosto
Orégano (opcional)</t>
  </si>
  <si>
    <t>Quebre os ovos em uma tigela.
Tempere com sal e pimenta-do-reino.
Bata levemente com um garfo até misturar as claras e as gemas.
Aqueça uma frigideira antiaderente em fogo baixo e adicione o azeite.
Despeje os ovos batidos na frigideira.
Cozinhe por aproximadamente 2 minutos, até a base começar a firmar.
Distribua as rodelas de tomate sobre metade da omelete.
Acrescente a fatia de muçarela e finalize com folhas de manjericão fresco.
Se desejar, salpique um pouco de orégano.
Dobre a omelete ao meio.
Tampe a frigideira por cerca de 1 minuto, permitindo que o queijo derreta completamente.
Sirva imediatamente.</t>
  </si>
  <si>
    <t>O ideal é consumir logo após o preparo.
Caso necessário, conservar sob refrigeração por até 24 horas, em recipiente fechado.</t>
  </si>
  <si>
    <t>Muçarela → queijo minas, cottage, ricota ou muçarela sem lactose.
Tomate → tomate-cereja ou tomate italiano.
Manjericão → salsinha, cebolinha ou espinafre.
Azeite → manteiga ghee ou preparo em frigideira antiaderente sem gordura.</t>
  </si>
  <si>
    <t>Omelete dobrada e dourada, com tomate, muçarela derretida e folhas frescas de manjericão visíveis.</t>
  </si>
  <si>
    <t>NL-020</t>
  </si>
  <si>
    <t>Creme Proteico de Maracujá da Nutri Lu</t>
  </si>
  <si>
    <t>Lanche • Sobremesa • Pós-treino</t>
  </si>
  <si>
    <t>Rico em proteínas • Sem glúten • Baixo teor de gordura • Pode ser adaptado sem whey</t>
  </si>
  <si>
    <t>50 g de polpa de maracujá
50 ml de água
100 g de iogurte natural desnatado
50 g de leite em pó desnatado
1 scoop de whey protein sabor baunilha (aproximadamente 30 g)
40 g de coco ralado sem açúcar
Opcional: adoçante culinário a gosto, caso utilize apenas leite em pó no lugar do whey.</t>
  </si>
  <si>
    <t>Bata a polpa de maracujá com a água no liquidificador.
Passe a mistura por uma peneira para retirar as sementes.
Transfira o suco coado para uma tigela.
Acrescente o iogurte desnatado.
Adicione o leite em pó desnatado.
Junte o whey protein e misture bem com um fouet ou espátula até obter um creme homogêneo.
Acrescente o coco ralado sem açúcar e misture delicadamente.
Distribua em potes individuais.
Leve à geladeira por aproximadamente 2 horas, ou até firmar.
Sirva gelado.</t>
  </si>
  <si>
    <t>Conservar em recipiente fechado na geladeira por até 3 dias.</t>
  </si>
  <si>
    <t>Whey protein → mesma quantidade de leite em pó desnatado + adoçante culinário a gosto.
Iogurte desnatado → iogurte natural zero lactose.
Coco ralado → raspas de chocolate 70% ou castanhas picadas.
Maracujá → morango, manga ou limão.</t>
  </si>
  <si>
    <t>Creme amarelo-claro em taça pequena, textura lisa e espessa, finalizado com polpa e sementes de maracujá.</t>
  </si>
  <si>
    <t>NL-021</t>
  </si>
  <si>
    <t>Pãozinho de Frigideira com Parmesão e Chia</t>
  </si>
  <si>
    <t>Café da manhã • Lanche</t>
  </si>
  <si>
    <t>Sem glúten* • Rico em proteínas • Fonte de fibras • Vegetariano • Prático Utilizar farinha de aveia certificada sem glúten quando necessária a exclusão rigorosa.</t>
  </si>
  <si>
    <t>8 minutos</t>
  </si>
  <si>
    <t>1 ovo inteiro (50 g)
2 colheres (sopa) de farinha de aveia sem glúten (20 g)
1 colher (sopa) de iogurte natural (20 g)
1 colher (sopa) de queijo parmesão ralado (10 g)
1 colher (chá) de chia (5 g)
½ colher (chá) de fermento químico (2,5 g)
Sal a gosto
Orégano a gosto</t>
  </si>
  <si>
    <t>Bata levemente o ovo com um garfo.
Acrescente o iogurte, a farinha de aveia, o parmesão e a chia.
Tempere com sal e orégano e misture até obter uma massa homogênea.
Acrescente o fermento por último e misture delicadamente.
Despeje em uma frigideira pequena antiaderente.
Tampe e cozinhe em fogo baixo por aproximadamente 3 minutos.
Quando a massa estiver firme, vire cuidadosamente.
Doure o outro lado por mais 2 a 3 minutos.
Para uma textura mais parecida com pão, corte ao meio e doure rapidamente a parte interna na frigideira.</t>
  </si>
  <si>
    <t>Iogurte natural → iogurte zero lactose.
Parmesão → queijo minas ou muçarela ralada.
Chia → linhaça moída.
Pode ser recheado com cottage, frango desfiado ou queijo minas. Os recheios acrescentados alteram os macros.</t>
  </si>
  <si>
    <t>Prato finalizado de Pãozinho de Frigideira com Parmesão e Chia, servido em louça clara e fotografado de cima em luz natural.</t>
  </si>
  <si>
    <t>NL-022</t>
  </si>
  <si>
    <t>Bolinho de Banana com Canela e Chocolate</t>
  </si>
  <si>
    <t>Sem glúten* • Sem açúcar adicionado** • Fonte de fibras • Rico em proteínas Utilizar aveia certificada sem glúten. Considerando que não seja adicionado açúcar além do naturalmente presente nos ingredientes e observando a composição do chocolate.</t>
  </si>
  <si>
    <t>1 banana pequena madura (80 g)
1 ovo inteiro (50 g)
2 colheres (sopa) de farinha de aveia sem glúten (20 g)
1 colher (sopa) de whey protein sabor baunilha (15 g)
1 colher (chá) de cacau em pó (5 g)
Chocolate 70% picado (10 g)
Canela em pó a gosto
½ colher (chá) de fermento químico (2,5 g)</t>
  </si>
  <si>
    <t>Amasse bem a banana.
Acrescente o ovo e misture.
Adicione a farinha de aveia, o whey, o cacau e a canela.
Misture até obter uma massa homogênea.
Acrescente o fermento por último.
Transfira para uma forminha pequena própria para Air Fryer.
Distribua o chocolate picado sobre a massa.
Asse na Air Fryer a 160°C por aproximadamente 10 a 12 minutos.
Retire quando estiver assado nas bordas e macio no centro.</t>
  </si>
  <si>
    <t>Geladeira: até 2 dias em recipiente fechado.</t>
  </si>
  <si>
    <t>Chocolate 70% → castanhas picadas.
Whey de baunilha → whey neutro ou sabor leite em pó.
Banana → banana-prata ou nanica bem madura.</t>
  </si>
  <si>
    <t>Prato finalizado de Bolinho de Banana com Canela e Chocolate, servido em louça clara e fotografado de cima em luz natural.</t>
  </si>
  <si>
    <t>NL-023</t>
  </si>
  <si>
    <t>Crepioca Caprese</t>
  </si>
  <si>
    <t>Sem glúten* • Rica em proteínas • Vegetariana • Prática</t>
  </si>
  <si>
    <t>Massa
1 ovo inteiro (50 g)
2 colheres (sopa) de goma de tapioca (30 g)
1 colher (sopa) de cottage (20 g)
Sal a gosto
Recheio
Queijo muçarela (40 g)
4 tomates-cereja cortados ao meio (aproximadamente 50 g)
Folhas de manjericão fresco a gosto
Orégano a gosto</t>
  </si>
  <si>
    <t>Misture o ovo, a goma de tapioca, o cottage e uma pequena quantidade de sal.
Aqueça uma frigideira antiaderente em fogo baixo.
Despeje a massa e espalhe formando um disco.
Cozinhe até a base ficar firme.
Vire e deixe dourar levemente o outro lado.
Distribua a muçarela, os tomates-cereja e o manjericão sobre metade da massa.
Salpique orégano.
Dobre ao meio.
Tampe a frigideira e mantenha em fogo baixo até o queijo derreter.
Sirva imediatamente.</t>
  </si>
  <si>
    <t>Consumir preferencialmente após o preparo. Se necessário, conservar na geladeira por até 24 horas.</t>
  </si>
  <si>
    <t>Muçarela → queijo minas padrão ou muçarela sem lactose.
Cottage → creme de ricota.
Tomate-cereja → tomate italiano em cubos.</t>
  </si>
  <si>
    <t>Prato finalizado de Crepioca Caprese, servido em louça clara e fotografado de cima em luz natural.</t>
  </si>
  <si>
    <t>NL-024</t>
  </si>
  <si>
    <t>Overnight de Morango com Cheesecake</t>
  </si>
  <si>
    <t>Sem glúten* • Rico em proteínas • Rico em fibras • Sem açúcar adicionado**</t>
  </si>
  <si>
    <t>Iogurte natural ou grego (120 g)
Aveia sem glúten (20 g)
Chia (10 g)
Whey sabor baunilha ou leite em pó (15 g)
Morangos picados (80 g)
Cream cheese light (30 g)
Essência de baunilha a gosto</t>
  </si>
  <si>
    <t>Misture o iogurte, a aveia, a chia e o whey.
Transfira para um pote individual com tampa.
Leve à geladeira durante a noite, por aproximadamente 6 a 8 horas.
No momento de servir, misture o cream cheese com algumas gotas de baunilha.
Espalhe esse creme sobre o overnight.
Finalize com os morangos picados.
Sirva gelado.</t>
  </si>
  <si>
    <t>Morango → frutas vermelhas ou manga.
Cream cheese light → creme de ricota.
Iogurte → versão zero lactose.
Whey → versão sem lactose adequada à necessidade individual.</t>
  </si>
  <si>
    <t>Prato finalizado de Overnight de Morango com Cheesecake, servido em louça clara e fotografado de cima em luz natural.</t>
  </si>
  <si>
    <t>NL-025</t>
  </si>
  <si>
    <t>Cuscuz Cremoso com Ovo e Queijo</t>
  </si>
  <si>
    <t>Sem glúten* • Rico em proteínas • Comida brasileira • Prático</t>
  </si>
  <si>
    <t>7 minutos</t>
  </si>
  <si>
    <t>Flocão de milho (40 g)
Água (aproximadamente 40 ml)
1 pitada de sal
1 ovo inteiro (50 g)
Queijo minas (30 g)
1 colher (sopa) de cottage ou requeijão (20 g)
Orégano ou cheiro-verde a gosto</t>
  </si>
  <si>
    <t>Misture o flocão com a água e uma pitada de sal.
Deixe hidratar por aproximadamente 5 minutos.
Transfira para a cuscuzeira e cozinhe até ficar macio.
Enquanto isso, prepare o ovo mexido em uma frigideira antiaderente.
Coloque o cuscuz ainda quente em uma tigela.
Acrescente o ovo, o queijo minas e o cottage.
Misture enquanto estiver quente para que o queijo amoleça e a preparação fique cremosa.
Finalize com orégano ou cheiro-verde.</t>
  </si>
  <si>
    <t>Geladeira: até 24 horas.</t>
  </si>
  <si>
    <t>Queijo minas → muçarela ou queijo coalho em menor quantidade.
Cottage → requeijão light.
Para aumentar o aporte proteico, acrescentar frango desfiado. Os macros deverão ser recalculados.</t>
  </si>
  <si>
    <t>Prato finalizado de Cuscuz Cremoso com Ovo e Queijo, servido em louça clara e fotografado de cima em luz natural.</t>
  </si>
  <si>
    <t>NL-026</t>
  </si>
  <si>
    <t>Panqueca de Maçã com Canela e Creme de Iogurte</t>
  </si>
  <si>
    <t>Sem glúten* • Rica em proteínas • Fonte de fibras • Sem açúcar adicionado</t>
  </si>
  <si>
    <t>Panqueca
1 ovo inteiro (50 g)
½ maçã pequena ralada (50 g)
Farinha de aveia sem glúten (20 g)
Whey sabor baunilha (15 g)
Canela a gosto
½ colher (chá) de fermento químico (2,5 g)
Creme
Iogurte natural (50 g)
Canela a gosto
Essência de baunilha a gosto</t>
  </si>
  <si>
    <t>Bata levemente o ovo.
Acrescente a maçã ralada, a farinha de aveia, o whey e a canela.
Misture até ficar homogêneo.
Adicione o fermento por último.
Aqueça uma frigideira antiaderente em fogo baixo.
Divida a massa em 2 ou 3 pequenas panquecas.
Cozinhe dos dois lados até ficarem levemente douradas.
Misture o iogurte com a canela e a baunilha.
Sirva o creme sobre as panquecas.</t>
  </si>
  <si>
    <t>Geladeira: até 2 dias. Conservar o creme separadamente.</t>
  </si>
  <si>
    <t>Maçã → pera.
Whey de baunilha → whey neutro.
Iogurte natural → iogurte zero lactose.</t>
  </si>
  <si>
    <t>Prato finalizado de Panqueca de Maçã com Canela e Creme de Iogurte, servido em louça clara e fotografado de cima em luz natural.</t>
  </si>
  <si>
    <t>NL-027</t>
  </si>
  <si>
    <t>Tortinha de Frango Cremosa na Air Fryer</t>
  </si>
  <si>
    <t>Sem glúten* • Rica em proteínas • Prática • Pode ser preparada com antecedência</t>
  </si>
  <si>
    <t>Massa
1 ovo inteiro (50 g)
Farinha de aveia sem glúten (20 g)
Iogurte natural (30 g)
½ colher (chá) de fermento químico (2,5 g)
Sal e temperos a gosto
Recheio
Frango cozido e desfiado (60 g)
Cottage ou requeijão (20 g)
Tomate picado a gosto
Cheiro-verde a gosto
Páprica a gosto</t>
  </si>
  <si>
    <t>Misture o ovo, a farinha de aveia, o iogurte, o sal e os temperos.
Acrescente o fermento por último.
Em outra tigela, misture o frango com o cottage, o tomate, o cheiro-verde e a páprica.
Coloque metade da massa em uma forminha de silicone.
Distribua o recheio de frango.
Cubra com o restante da massa.
Leve à Air Fryer preaquecida a 160°C.
Asse por aproximadamente 12 a 15 minutos, até ficar firme e levemente dourada.
Aguarde alguns minutos antes de desenformar.</t>
  </si>
  <si>
    <t>Frango → atum escorrido.
Cottage → requeijão light ou creme de ricota.
Iogurte → iogurte zero lactose.</t>
  </si>
  <si>
    <t>Prato finalizado de Tortinha de Frango Cremosa na Air Fryer, servido em louça clara e fotografado de cima em luz natural.</t>
  </si>
  <si>
    <t>NL-028</t>
  </si>
  <si>
    <t>Tapioca Crocante de Banana, Pasta de Amendoim e Canela</t>
  </si>
  <si>
    <t>Café da manhã • Pré-treino • Lanche</t>
  </si>
  <si>
    <t>Sem glúten* • Prática • Sem açúcar adicionado** • Fonte de energia</t>
  </si>
  <si>
    <t>Goma de tapioca (30 g)
½ banana grande ou 1 banana pequena (70 g)
Pasta de amendoim integral (15 g)
Whey protein (10 g)
1 colher (sopa) de água (15 ml), aproximadamente
Canela a gosto</t>
  </si>
  <si>
    <t>Aqueça bem uma frigideira antiaderente.
Distribua a goma de tapioca uniformemente.
Cozinhe até unir os grãos e deixe dourar um pouco mais do que o habitual para ficar levemente crocante.
Vire rapidamente, se desejar dourar os dois lados.
Distribua a banana fatiada e a pasta de amendoim.
Misture o whey com a água aos poucos até formar um creme.
Coloque o creme de whey sobre a banana.
Finalize com canela.
Dobre e sirva ainda quente.</t>
  </si>
  <si>
    <t>Consumir preferencialmente imediatamente após o preparo.</t>
  </si>
  <si>
    <t>Banana → morangos.
Pasta de amendoim → pasta de amêndoas ou castanha-de-caju.
Whey → proteína em pó adequada à necessidade individual.</t>
  </si>
  <si>
    <t>Prato finalizado de Tapioca Crocante de Banana, Pasta de Amendoim e Canela, servido em louça clara e fotografado de cima em luz natural.</t>
  </si>
  <si>
    <t>NL-029</t>
  </si>
  <si>
    <t>Pão de Queijo Proteico de Frigideira</t>
  </si>
  <si>
    <t>Sem glúten • Rico em proteínas • Prático • Vegetariano</t>
  </si>
  <si>
    <t>3 minutos</t>
  </si>
  <si>
    <t>1 ovo inteiro (50 g)
Polvilho azedo (25 g)
Cottage (30 g)
Muçarela ralada (20 g)
Parmesão ralado (10 g)
1 pitada de sal</t>
  </si>
  <si>
    <t>Coloque o ovo em uma tigela e bata com um garfo.
Acrescente o cottage e misture.
Adicione o polvilho azedo, a muçarela, o parmesão e uma pequena pitada de sal.
Misture até obter uma massa homogênea.
Despeje em uma frigideira pequena antiaderente.
Tampe e cozinhe em fogo baixo.
Quando a base estiver firme e dourada, vire cuidadosamente.
Doure o outro lado.
Sirva ainda quente para aproveitar melhor a textura do queijo.</t>
  </si>
  <si>
    <t>Cottage → creme de ricota.
Muçarela → queijo minas padrão ralado.
Para versão sem lactose → utilizar queijos e cottage sem lactose.</t>
  </si>
  <si>
    <t>Prato finalizado de Pão de Queijo Proteico de Frigideira, servido em louça clara e fotografado de cima em luz natural.</t>
  </si>
  <si>
    <t>NL-030</t>
  </si>
  <si>
    <t>Baked Oats de Cenoura com Chocolate</t>
  </si>
  <si>
    <t>Sem glúten* • Rico em proteínas • Fonte de fibras • Sem açúcar adicionado**</t>
  </si>
  <si>
    <t>1 ovo inteiro (50 g)
Aveia sem glúten (25 g)
Whey sabor baunilha (20 g)
Cenoura crua ralada (50 g)
Leite (50 ml)
Canela a gosto
½ colher (chá) de fermento químico (2,5 g)
Chocolate 70% picado (10 g)</t>
  </si>
  <si>
    <t>Em uma tigela, bata levemente o ovo.
Acrescente a aveia, o whey, a cenoura e o leite.
Misture bem até obter uma massa uniforme. Se preferir uma textura mais lisa, bata rapidamente no liquidificador.
Acrescente a canela.
Adicione o fermento por último e misture delicadamente.
Transfira para uma pequena travessa ou forminha própria para Air Fryer.
Distribua o chocolate 70% sobre a superfície.
Leve à Air Fryer preaquecida a 160°C por aproximadamente 12 minutos.
Retire quando as laterais estiverem assadas e o centro ainda estiver macio.
Aguarde alguns minutos e sirva ainda morno.</t>
  </si>
  <si>
    <t>Leite → leite zero lactose ou bebida vegetal sem açúcar.
Whey de baunilha → whey sabor leite em pó ou neutro.
Chocolate 70% → chocolate com maior percentual de cacau ou castanhas picadas.
Canela → essência de baunilha.</t>
  </si>
  <si>
    <t>Prato finalizado de Baked Oats de Cenoura com Chocolate, servido em louça clara e fotografado de cima em luz natural.</t>
  </si>
  <si>
    <t>NL-031</t>
  </si>
  <si>
    <t>Escondidinho de Frango com Purê de Batata-Doce</t>
  </si>
  <si>
    <t>Sem lactose • Rico em proteínas • Prato principal • Refeição completa</t>
  </si>
  <si>
    <t>Purê
Batata-doce cozida (150 g)
1 colher (chá) de azeite de oliva extravirgem (5 ml)
2 colheres (sopa) de bebida vegetal sem açúcar ou leite sem lactose (30 ml)
Sal a gosto
Recheio
Frango cozido e desfiado (120 g)
Tomate picado (50 g)
Cebola picada (20 g)
1 dente de alho amassado (3 g)
1 colher (chá) de azeite de oliva extravirgem (5 ml)
Cheiro-verde a gosto
Páprica a gosto
Sal a gosto</t>
  </si>
  <si>
    <t>Cozinhe a batata-doce até ficar bem macia.
Ainda quente, amasse até formar um purê.
Acrescente o azeite, a bebida vegetal ou leite sem lactose e o sal.
Misture até obter uma textura cremosa e reserve.
Aqueça o azeite em uma frigideira.
Refogue a cebola e o alho.
Acrescente o tomate e cozinhe por aproximadamente 2 minutos.
Adicione o frango desfiado.
Tempere com páprica, cheiro-verde e sal.
Em um refratário pequeno, coloque todo o recheio de frango.
Cubra com o purê de batata-doce.
Leve ao forno preaquecido a 200°C por aproximadamente 15 minutos.
Sirva ainda quente.</t>
  </si>
  <si>
    <t>Batata-doce → mandioca, abóbora ou batata inglesa.
Frango → carne moída magra ou carne desfiada.
Bebida vegetal → leite zero lactose.</t>
  </si>
  <si>
    <t>Prato finalizado de Escondidinho de Frango com Purê de Batata-Doce, servido em louça clara e fotografado de cima em luz natural.</t>
  </si>
  <si>
    <t>NL-032</t>
  </si>
  <si>
    <t>Frango Cremoso com Leite de Coco e Curry</t>
  </si>
  <si>
    <t>Sem lactose • Rico em proteínas • Prático • Baixo em carboidratos</t>
  </si>
  <si>
    <t>Peito de frango em cubos (150 g)
Leite de coco (60 ml)
Tomate picado (50 g)
Cebola picada (30 g)
1 dente de alho (3 g)
1 colher (chá) de azeite (5 ml)
½ colher (chá) de curry
Cúrcuma a gosto
Pimenta-do-reino a gosto
Sal a gosto
Coentro ou cheiro-verde a gosto</t>
  </si>
  <si>
    <t>Aqueça o azeite em uma frigideira.
Refogue a cebola até ficar transparente.
Acrescente o alho e mexa rapidamente.
Adicione os cubos de frango.
Doure bem todos os lados.
Acrescente o tomate.
Tempere com curry, cúrcuma, pimenta-do-reino e sal.
Adicione o leite de coco.
Cozinhe em fogo baixo por aproximadamente 8 minutos, até o molho ficar cremoso.
Finalize com coentro ou cheiro-verde.</t>
  </si>
  <si>
    <t>Geladeira: até 3 dias.</t>
  </si>
  <si>
    <t>Frango → peixe branco ou camarão.
Leite de coco → creme vegetal sem lactose.
Curry → páprica, cúrcuma e cominho.</t>
  </si>
  <si>
    <t>Prato finalizado de Frango Cremoso com Leite de Coco e Curry, servido em louça clara e fotografado de cima em luz natural.</t>
  </si>
  <si>
    <t>NL-033</t>
  </si>
  <si>
    <t>Risoto Cremoso de Limão-Siciliano com Frango</t>
  </si>
  <si>
    <t>Sem lactose • Rico em proteínas • Prato especial</t>
  </si>
  <si>
    <t>Arroz arbóreo cru (70 g)
Frango grelhado em tiras (100 g)
Cebola picada (30 g)
1 colher (chá) de azeite (5 ml)
Caldo de legumes caseiro quente (aproximadamente 300 ml)
Raspas de ½ limão-siciliano
1 colher (sopa) de creme vegetal culinário ou creme de castanhas (20 g)
Sal a gosto
Pimenta-do-reino a gosto</t>
  </si>
  <si>
    <t>Aqueça o caldo e mantenha-o quente.
Em uma panela, aqueça o azeite.
Refogue a cebola.
Acrescente o arroz arbóreo e misture por 1 minuto.
Adicione uma concha do caldo quente.
Mexa até o líquido ser quase totalmente absorvido.
Continue adicionando o caldo aos poucos.
Cozinhe por aproximadamente 18 a 20 minutos, até o arroz ficar al dente e cremoso.
Acrescente o creme vegetal.
Adicione as raspas de limão-siciliano.
Ajuste o sal e a pimenta.
Sirva com o frango grelhado em tiras.</t>
  </si>
  <si>
    <t>Geladeira: até 2 dias.</t>
  </si>
  <si>
    <t>Frango → cogumelos para versão vegetariana.
Creme vegetal → creme de castanhas.
Limão-siciliano → limão-taiti, com sabor mais intenso.</t>
  </si>
  <si>
    <t>Prato finalizado de Risoto Cremoso de Limão-Siciliano com Frango, servido em louça clara e fotografado de cima em luz natural.</t>
  </si>
  <si>
    <t>NL-034</t>
  </si>
  <si>
    <t>Almôndegas ao Molho de Tomate com Purê de Abóbora</t>
  </si>
  <si>
    <t>Sem lactose • Rica em proteínas • Comfort food</t>
  </si>
  <si>
    <t>Almôndegas
Patinho moído (150 g)
Farinha de aveia (15 g)
Cebola ralada (20 g)
Alho a gosto
Sal a gosto
Cheiro-verde a gosto
Páprica a gosto
Molho
Molho de tomate (120 g)
Manjericão a gosto
Purê
Abóbora cabotiá cozida (180 g)
1 colher (chá) de azeite (5 ml)
Sal a gosto
Noz-moscada a gosto</t>
  </si>
  <si>
    <t>Misture a carne, a farinha de aveia, a cebola e os temperos.
Modele pequenas almôndegas.
Doure em frigideira antiaderente ou asse até ficarem firmes.
Acrescente o molho de tomate e o manjericão.
Cozinhe por mais alguns minutos.
Amasse a abóbora cozida.
Acrescente o azeite, o sal e a noz-moscada.
Misture até formar um purê.
Sirva as almôndegas sobre o purê.</t>
  </si>
  <si>
    <t>Patinho → frango moído.
Abóbora cabotiá → batata-doce ou mandioquinha.
Farinha de aveia → farinha de arroz.</t>
  </si>
  <si>
    <t>Prato finalizado de Almôndegas ao Molho de Tomate com Purê de Abóbora, servido em louça clara e fotografado de cima em luz natural.</t>
  </si>
  <si>
    <t>NL-035</t>
  </si>
  <si>
    <t>Moqueca Rápida de Peixe</t>
  </si>
  <si>
    <t>Sem lactose • Rica em proteínas • Sem glúten</t>
  </si>
  <si>
    <t>Filé de peixe branco (150 g)
Leite de coco (60 ml)
Tomate em rodelas (60 g)
Pimentão em tiras (40 g)
Cebola em rodelas (30 g)
1 colher (chá) de azeite (5 ml)
Suco de ½ limão
Coentro a gosto
Sal a gosto
Páprica a gosto
Pimenta a gosto</t>
  </si>
  <si>
    <t>Tempere o peixe com limão e sal.
Em uma panela pequena, coloque a cebola, o tomate e o pimentão.
Disponha o peixe sobre os vegetais.
Acrescente o leite de coco.
Tempere com páprica e pimenta.
Tampe e cozinhe em fogo baixo por aproximadamente 12 minutos.
Verifique se o peixe está completamente cozido.
Finalize com coentro.</t>
  </si>
  <si>
    <t>Peixe branco → camarão.
Pimentão → combinação de vermelho e amarelo.
Coentro → salsinha.</t>
  </si>
  <si>
    <t>Prato finalizado de Moqueca Rápida de Peixe, servido em louça clara e fotografado de cima em luz natural.</t>
  </si>
  <si>
    <t>NL-036</t>
  </si>
  <si>
    <t>Macarrão Cremoso de Atum e Tomate</t>
  </si>
  <si>
    <t>Sem lactose • Rico em proteínas • Prático</t>
  </si>
  <si>
    <t>Macarrão cru (70 g)
Atum em água escorrido (100 g)
Molho de tomate (100 g)
Creme de castanhas ou creme vegetal (30 g)
Cebola picada (30 g)
1 dente de alho (3 g)
Manjericão a gosto
Pimenta-do-reino a gosto</t>
  </si>
  <si>
    <t>Cozinhe o macarrão conforme as instruções da embalagem.
Em uma frigideira, refogue a cebola e o alho.
Acrescente o molho de tomate.
Adicione o atum.
Misture o creme vegetal.
Cozinhe por 2 a 3 minutos.
Acrescente o macarrão cozido.
Misture até envolver toda a massa no molho.
Finalize com manjericão e pimenta-do-reino.</t>
  </si>
  <si>
    <t>Macarrão tradicional → macarrão de arroz ou milho para versão sem glúten.
Atum → frango desfiado.
Creme de castanhas → creme vegetal culinário.</t>
  </si>
  <si>
    <t>Prato finalizado de Macarrão Cremoso de Atum e Tomate, servido em louça clara e fotografado de cima em luz natural.</t>
  </si>
  <si>
    <t>NL-037</t>
  </si>
  <si>
    <t>Arroz Cremoso de Frango com Legumes</t>
  </si>
  <si>
    <t>Sem lactose • Rico em proteínas • Refeição completa</t>
  </si>
  <si>
    <t>Arroz cozido (100 g)
Frango desfiado (120 g)
Cenoura em cubos (40 g)
Abobrinha em cubos (40 g)
Ervilha (30 g)
Leite de coco leve ou creme vegetal (40 ml)
1 colher (chá) de azeite (5 ml)
Sal a gosto
Cúrcuma a gosto
Cheiro-verde a gosto</t>
  </si>
  <si>
    <t>Aqueça o azeite em uma frigideira.
Acrescente a cenoura e refogue por aproximadamente 2 minutos.
Adicione a abobrinha e a ervilha.
Acrescente o frango desfiado.
Tempere com sal e cúrcuma.
Junte o arroz cozido.
Acrescente o leite de coco ou creme vegetal.
Misture em fogo baixo até ficar cremoso.
Finalize com cheiro-verde.</t>
  </si>
  <si>
    <t>Frango → carne moída magra.
Arroz branco → arroz integral.
Abobrinha → brócolis ou couve-flor.</t>
  </si>
  <si>
    <t>Prato finalizado de Arroz Cremoso de Frango com Legumes, servido em louça clara e fotografado de cima em luz natural.</t>
  </si>
  <si>
    <t>NL-038</t>
  </si>
  <si>
    <t>Quibe Assado Recheado com Homus</t>
  </si>
  <si>
    <t>Sem lactose • Rico em fibras • Rico em proteínas</t>
  </si>
  <si>
    <t>Patinho moído (120 g)
Trigo para quibe hidratado (50 g)
Cebola picada (30 g)
Hortelã a gosto
Sal a gosto
Pimenta-síria a gosto
Homus (50 g)
1 colher (chá) de azeite (5 ml)</t>
  </si>
  <si>
    <t>Hidrate o trigo para quibe e retire bem o excesso de água.
Misture o trigo com a carne moída.
Acrescente a cebola.
Tempere com hortelã, sal e pimenta-síria.
Em uma travessa pequena, coloque metade da mistura.
Espalhe o homus formando uma camada.
Cubra com o restante da massa do quibe.
Regue com o azeite.
Leve ao forno preaquecido a 200°C por aproximadamente 25 minutos.
Aguarde alguns minutos antes de cortar.</t>
  </si>
  <si>
    <t>Trigo para quibe → quinoa cozida para versão sem glúten.
Patinho → frango moído.
Homus → pasta de grão-de-bico sem tahine.</t>
  </si>
  <si>
    <t>Prato finalizado de Quibe Assado Recheado com Homus, servido em louça clara e fotografado de cima em luz natural.</t>
  </si>
  <si>
    <t>NL-039</t>
  </si>
  <si>
    <t>Fricassê de Frango sem Lactose</t>
  </si>
  <si>
    <t>Sem lactose • Rico em proteínas • Comfort food</t>
  </si>
  <si>
    <t>Frango cozido e desfiado (120 g)
Milho (80 g)
Leite de coco leve (60 ml)
Creme de castanhas (30 g)
Cebola picada (30 g)
1 dente de alho (3 g)
Batata-palha (15 g)
Sal a gosto
Páprica a gosto
Cheiro-verde a gosto</t>
  </si>
  <si>
    <t>Bata metade do milho com o leite de coco e o creme de castanhas.
Reserve o creme.
Refogue a cebola e o alho.
Acrescente o frango desfiado.
Adicione o restante do milho.
Tempere com sal e páprica.
Acrescente o creme batido.
Cozinhe em fogo baixo até ficar cremoso.
Finalize com cheiro-verde.
Acrescente a batata-palha somente no momento de servir.</t>
  </si>
  <si>
    <t>Geladeira: até 3 dias, sem a batata-palha.</t>
  </si>
  <si>
    <t>Creme de castanhas → creme vegetal culinário.
Frango → carne desfiada.
Batata-palha → batata assada em tirinhas para uma versão caseira.</t>
  </si>
  <si>
    <t>Prato finalizado de Fricassê de Frango sem Lactose, servido em louça clara e fotografado de cima em luz natural.</t>
  </si>
  <si>
    <t>NL-040</t>
  </si>
  <si>
    <t>Lasanha de Abobrinha com Carne e Molho Cremoso</t>
  </si>
  <si>
    <t>Sem lactose • Rica em proteínas • Low Carb</t>
  </si>
  <si>
    <t>Abobrinha cortada em lâminas (180 g)
Patinho moído (130 g)
Molho de tomate (100 g)
Creme de castanhas ou creme vegetal (40 g)
Cebola picada (30 g)
1 dente de alho (3 g)
1 colher (chá) de azeite (5 ml)
Manjericão a gosto
Sal a gosto
Pimenta-do-reino a gosto</t>
  </si>
  <si>
    <t>Corte a abobrinha em lâminas finas.
Aqueça uma frigideira antiaderente.
Doure rapidamente as lâminas dos dois lados para retirar parte da água.
Reserve.
Aqueça o azeite.
Refogue a cebola e o alho.
Acrescente o patinho moído.
Cozinhe até a carne ficar bem dourada.
Acrescente o molho de tomate.
Tempere com sal, pimenta e manjericão.
Em um refratário pequeno, faça uma camada de abobrinha.
Acrescente parte da carne.
Distribua pequenas porções do creme vegetal.
Repita as camadas.
Leve ao forno preaquecido a 200°C por aproximadamente 20 minutos.
Aguarde alguns minutos antes de servir.</t>
  </si>
  <si>
    <t>Abobrinha → berinjela.
Patinho → frango moído.
Creme de castanhas → creme vegetal culinário.</t>
  </si>
  <si>
    <t>Prato finalizado de Lasanha de Abobrinha com Carne e Molho Cremoso, servido em louça clara e fotografado de cima em luz natural.</t>
  </si>
  <si>
    <t>NL-041</t>
  </si>
  <si>
    <t>Cestinha Crocante de Pão com Ovo e Queijo</t>
  </si>
  <si>
    <t>Vegetariana • Rica em proteínas • Prática</t>
  </si>
  <si>
    <t>2 fatias de pão de forma integral (50 g)
1 ovo inteiro (50 g)
Queijo minas frescal (30 g)
Tomate picado (30 g)
Orégano a gosto
Sal a gosto
Pimenta-do-reino a gosto</t>
  </si>
  <si>
    <t>Achate levemente as fatias de pão com um rolo ou com as mãos.
Acomode cada fatia em uma forminha de silicone, moldando o formato de cestinha.
Distribua o tomate picado no fundo.
Acrescente o queijo minas.
Divida o ovo entre as duas cestinhas ou utilize um ovo pequeno em cada uma, caso queira aumentar o volume da receita.
Tempere com sal, pimenta-do-reino e orégano.
Leve à Air Fryer preaquecida a 180°C por aproximadamente 8 a 10 minutos.
Retire quando o pão estiver crocante e o ovo atingir o ponto desejado.
Sirva ainda quente.</t>
  </si>
  <si>
    <t>1 porção – 2 cestinhas</t>
  </si>
  <si>
    <t>Consumir preferencialmente logo após o preparo.
Se necessário, conservar em recipiente fechado na geladeira por até 24 horas.</t>
  </si>
  <si>
    <t>Queijo minas → ricota ou cottage.
Pão integral → pão sem glúten, quando necessário.
Tomate → tomate-cereja.
Para uma alimentação vegetariana estrita quanto ao processo de fabricação, utilizar queijo produzido com coalho microbiano ou vegetal.</t>
  </si>
  <si>
    <t>Prato finalizado de Cestinha Crocante de Pão com Ovo e Queijo, servido em louça clara e fotografado de cima em luz natural.</t>
  </si>
  <si>
    <t>NL-042</t>
  </si>
  <si>
    <t>Bolinho de Mandioca com Queijo na Air Fryer</t>
  </si>
  <si>
    <t>Vegetariana • Sem glúten* • Prática Desde que a farinha de aveia utilizada seja certificada sem glúten.</t>
  </si>
  <si>
    <t>Mandioca cozida e amassada (120 g)
Queijo minas em cubinhos (40 g)
1 colher (sopa) de farinha de aveia sem glúten (10 g)
1 colher (chá) de azeite de oliva (5 ml)
Cheiro-verde a gosto
Sal a gosto</t>
  </si>
  <si>
    <t>Cozinhe a mandioca até ficar bem macia.
Escorra completamente e amasse ainda quente.
Acrescente a farinha de aveia, o azeite, o cheiro-verde e uma pequena quantidade de sal.
Misture até formar uma massa moldável.
Divida a massa em 4 partes iguais.
Abra cada porção na palma da mão.
Coloque um cubinho de queijo no centro.
Feche cuidadosamente, formando bolinhos.
Disponha na cesta da Air Fryer.
Asse a 190°C por aproximadamente 15 minutos.
Vire os bolinhos na metade do tempo para dourarem por igual.
Sirva ainda quentes.</t>
  </si>
  <si>
    <t>4 unidades</t>
  </si>
  <si>
    <t>Mandioca → batata inglesa ou mandioquinha.
Queijo minas → muçarela ou queijo minas padrão.
Farinha de aveia → farinha de arroz.</t>
  </si>
  <si>
    <t>Prato finalizado de Bolinho de Mandioca com Queijo na Air Fryer, servido em louça clara e fotografado de cima em luz natural.</t>
  </si>
  <si>
    <t>NL-043</t>
  </si>
  <si>
    <t>Sanduíche Quente de Ricota Cremosa e Tomate</t>
  </si>
  <si>
    <t>Vegetariana • Fonte de proteínas • Prática</t>
  </si>
  <si>
    <t>2 fatias de pão integral (50 g)
Ricota (60 g)
Requeijão (20 g)
Tomate em rodelas (50 g)
Folhas de manjericão a gosto
Orégano a gosto
Pimenta-do-reino a gosto</t>
  </si>
  <si>
    <t>Amasse a ricota com um garfo.
Acrescente o requeijão e misture até formar um creme.
Espalhe o creme sobre uma das fatias de pão.
Distribua o tomate em rodelas.
Acrescente o manjericão, o orégano e a pimenta-do-reino.
Feche o sanduíche com a segunda fatia.
Leve à sanduicheira ou frigideira antiaderente.
Doure dos dois lados até o pão ficar crocante e o recheio aquecido.
Sirva imediatamente.</t>
  </si>
  <si>
    <t>Consumir preferencialmente logo após o preparo.</t>
  </si>
  <si>
    <t>Requeijão → creme de ricota.
Ricota → cottage.
Pão integral → pão sem glúten ou pão de fermentação natural.
Tomate → tomate-cereja.</t>
  </si>
  <si>
    <t>Prato finalizado de Sanduíche Quente de Ricota Cremosa e Tomate, servido em louça clara e fotografado de cima em luz natural.</t>
  </si>
  <si>
    <t>NL-044</t>
  </si>
  <si>
    <t>Batata Rosti de Frigideira com Queijo</t>
  </si>
  <si>
    <t>Café da manhã • Brunch</t>
  </si>
  <si>
    <t>Vegetariana • Sem glúten • Comfort food</t>
  </si>
  <si>
    <t>Batata inglesa crua (150 g)
Queijo minas padrão ralado (40 g)
1 colher (chá) de azeite (5 ml)
Sal a gosto
Pimenta-do-reino a gosto
Orégano a gosto</t>
  </si>
  <si>
    <t>Descasque e rale a batata no ralo grosso.
Coloque em um pano limpo ou papel-toalha.
Aperte bem para retirar o máximo possível de água.
Tempere com sal e pimenta-do-reino.
Aqueça metade do azeite em uma frigideira pequena.
Coloque metade da batata e pressione formando um disco.
Distribua o queijo no centro.
Cubra com o restante da batata.
Pressione levemente.
Cozinhe em fogo baixo até dourar.
Vire cuidadosamente.
Acrescente o restante do azeite.
Doure o outro lado.
Finalize com orégano e sirva quente.</t>
  </si>
  <si>
    <t>1 unidade</t>
  </si>
  <si>
    <t>Consumir preferencialmente na hora.
Se necessário, conservar sob refrigeração por até 2 dias.</t>
  </si>
  <si>
    <t>Queijo minas padrão → muçarela ou queijo minas frescal.
Batata inglesa → batata-doce.
Pode acrescentar cheiro-verde ou tomate picado ao recheio.</t>
  </si>
  <si>
    <t>Prato finalizado de Batata Rosti de Frigideira com Queijo, servido em louça clara e fotografado de cima em luz natural.</t>
  </si>
  <si>
    <t>NL-045</t>
  </si>
  <si>
    <t>Bolo de Caneca de Milho com Coco</t>
  </si>
  <si>
    <t>Vegetariana • Sem glúten • Prática</t>
  </si>
  <si>
    <t>1 ovo inteiro (50 g)
Milho cozido (50 g)
Fubá (20 g)
Leite (30 ml)
Coco ralado sem açúcar (10 g)
Açúcar demerara (10 g) ou adoçante culinário equivalente
½ colher (chá) de fermento químico (2,5 g)</t>
  </si>
  <si>
    <t>Coloque o ovo, o milho e o leite no mixer ou liquidificador.
Bata até obter uma mistura homogênea.
Transfira para uma tigela.
Acrescente o fubá, o coco e o açúcar ou adoçante.
Misture bem.
Acrescente o fermento por último.
Despeje em uma caneca grande própria para micro-ondas.
Leve ao micro-ondas por aproximadamente 2 a 3 minutos.
Aguarde 1 minuto antes de consumir.</t>
  </si>
  <si>
    <t>Leite → leite sem lactose ou bebida vegetal.
Açúcar demerara → adoçante culinário.
Pode acrescentar canela ou essência de baunilha.</t>
  </si>
  <si>
    <t>Prato finalizado de Bolo de Caneca de Milho com Coco, servido em louça clara e fotografado de cima em luz natural.</t>
  </si>
  <si>
    <t>NL-046</t>
  </si>
  <si>
    <t>Pão Francês Recheado com Ovo Cremoso e Queijo Minas</t>
  </si>
  <si>
    <t>Café da manhã</t>
  </si>
  <si>
    <t>1 pão francês pequeno (50 g)
2 ovos inteiros (100 g)
Queijo minas (30 g)
Tomate picado (20 g)
1 colher (sopa) de leite (15 ml)
Sal a gosto
Pimenta-do-reino a gosto
Cheiro-verde a gosto</t>
  </si>
  <si>
    <t>Quebre os ovos em uma tigela.
Acrescente o leite e uma pequena pitada de sal.
Bata levemente.
Despeje em uma frigideira antiaderente em fogo baixo.
Mexa delicadamente até os ovos começarem a firmar, mantendo textura cremosa.
Acrescente o queijo minas e o tomate.
Misture apenas até o queijo aquecer.
Abra o pão francês ao meio.
Recheie com os ovos ainda quentes.
Finalize com pimenta-do-reino e cheiro-verde.
Sirva imediatamente.</t>
  </si>
  <si>
    <t>Pão francês → pão integral.
Queijo minas → muçarela ou cottage.
Leite → leite sem lactose.</t>
  </si>
  <si>
    <t>Prato finalizado de Pão Francês Recheado com Ovo Cremoso e Queijo Minas, servido em louça clara e fotografado de cima em luz natural.</t>
  </si>
  <si>
    <t>NL-047</t>
  </si>
  <si>
    <t>Croquete Assado de Batata e Ricota</t>
  </si>
  <si>
    <t>Batata cozida e amassada (120 g)
Ricota (60 g)
Farinha de aveia (15 g)
1 colher (chá) de azeite (5 ml)
Cheiro-verde a gosto
Orégano a gosto
Sal a gosto
Pimenta-do-reino a gosto</t>
  </si>
  <si>
    <t>Cozinhe a batata até ficar macia.
Escorra e amasse completamente.
Acrescente a ricota amassada.
Adicione a farinha de aveia e o azeite.
Tempere com cheiro-verde, orégano, sal e pimenta-do-reino.
Misture até formar uma massa moldável.
Divida e modele 5 pequenos croquetes.
Disponha em uma assadeira ou cesta da Air Fryer.
Asse a 190°C por aproximadamente 15 minutos.
Vire na metade do tempo.
Retire quando estiverem levemente dourados.</t>
  </si>
  <si>
    <t>5 unidades</t>
  </si>
  <si>
    <t>Ricota → cottage mais firme.
Batata → batata-doce ou mandioquinha.
Pode acrescentar cenoura ralada ou espinafre bem picado.</t>
  </si>
  <si>
    <t>Prato finalizado de Croquete Assado de Batata e Ricota, servido em louça clara e fotografado de cima em luz natural.</t>
  </si>
  <si>
    <t>NL-048</t>
  </si>
  <si>
    <t>Pãozinho Assado de Iogurte e Queijo</t>
  </si>
  <si>
    <t>Farinha de trigo integral (50 g)
Iogurte natural (50 g)
Queijo minas ralado (30 g)
1 colher (chá) de azeite (5 ml)
½ colher (chá) de fermento químico (2,5 g)
Sal a gosto
Orégano a gosto</t>
  </si>
  <si>
    <t>Coloque a farinha em uma tigela.
Acrescente o iogurte, o queijo e o azeite.
Tempere com sal e orégano.
Misture até formar uma massa macia.
Acrescente o fermento e incorpore delicadamente.
Divida a massa em 2 partes.
Modele dois pãezinhos.
Disponha em uma forminha ou assadeira pequena.
Leve à Air Fryer a 180°C por aproximadamente 12 a 15 minutos.
Retire quando estiverem crescidos e dourados.</t>
  </si>
  <si>
    <t>2 unidades</t>
  </si>
  <si>
    <t>Queijo minas → parmesão ou muçarela.
Iogurte natural → iogurte zero lactose.
Pode acrescentar ervas secas, chia ou gergelim à massa.</t>
  </si>
  <si>
    <t>Prato finalizado de Pãozinho Assado de Iogurte e Queijo, servido em louça clara e fotografado de cima em luz natural.</t>
  </si>
  <si>
    <t>NL-049</t>
  </si>
  <si>
    <t>Creme de Mamão com Iogurte, Coco e Castanhas</t>
  </si>
  <si>
    <t>Vegetariana • Fonte de fibras • Prática • Sem açúcar adicionado</t>
  </si>
  <si>
    <t>Mamão (150 g)
Iogurte natural ou grego (120 g)
Coco ralado sem açúcar (10 g)
Castanhas picadas (10 g)
Chia (5 g)
Canela a gosto</t>
  </si>
  <si>
    <t>Coloque o mamão e o iogurte no liquidificador ou mixer.
Bata até formar um creme homogêneo.
Transfira para uma tigela.
Finalize com o coco ralado.
Acrescente as castanhas picadas.
Salpique a chia.
Finalize com canela a gosto.
Sirva imediatamente ou gelado.</t>
  </si>
  <si>
    <t>Geladeira: até 24 horas, em recipiente fechado.</t>
  </si>
  <si>
    <t>Iogurte natural → iogurte grego ou iogurte com maior teor de proteína.
Castanhas → amêndoas ou nozes.
Mamão → manga, quando desejar variar.</t>
  </si>
  <si>
    <t>Prato finalizado de Creme de Mamão com Iogurte, Coco e Castanhas, servido em louça clara e fotografado de cima em luz natural.</t>
  </si>
  <si>
    <t>NL-050</t>
  </si>
  <si>
    <t>Tortinha Rápida de Pão com Queijo, Tomate e Espinafre</t>
  </si>
  <si>
    <t>2 fatias de pão integral (50 g)
1 ovo inteiro (50 g)
Leite (30 ml)
Queijo minas (40 g)
Tomate picado (40 g)
Espinafre picado (20 g)
Sal a gosto
Orégano a gosto
Pimenta-do-reino a gosto</t>
  </si>
  <si>
    <t>Corte o pão em pequenos cubos.
Distribua os cubos em um refratário individual próprio para Air Fryer.
Em uma tigela, bata o ovo com o leite.
Tempere com sal e pimenta-do-reino.
Acrescente o tomate, o espinafre e o queijo sobre os cubos de pão.
Despeje a mistura de ovo por cima.
Pressione levemente com uma colher para que o líquido seja absorvido pelo pão.
Finalize com orégano.
Leve à Air Fryer a 180°C por aproximadamente 10 a 12 minutos.
Retire quando estiver firme e dourada.
Aguarde alguns minutos antes de servir.</t>
  </si>
  <si>
    <t>Espinafre → cenoura ralada, abobrinha ou cheiro-verde.
Queijo minas → muçarela ou ricota.
Leite → leite sem lactose.
Pão integral → pão sem glúten quando necessário.</t>
  </si>
  <si>
    <t>Prato finalizado de Tortinha Rápida de Pão com Queijo, Tomate e Espinafre, servido em louça clara e fotografado de cima em luz natural.</t>
  </si>
  <si>
    <t>NL-051</t>
  </si>
  <si>
    <t>Frango à Pizzaiolo Gratinado</t>
  </si>
  <si>
    <t>Low Carb • Rico em proteínas • Sem glúten</t>
  </si>
  <si>
    <t>Filé de peito de frango (150 g)
Molho de tomate (70 g)
Muçarela (50 g)
Tomate em rodelas (50 g)
1 colher (chá) de azeite de oliva extravirgem (5 ml)
Alho a gosto
Sal a gosto
Pimenta-do-reino a gosto
Orégano a gosto
Folhas de manjericão a gosto</t>
  </si>
  <si>
    <t>Tempere o filé de frango com alho, sal e pimenta-do-reino.
Aqueça o azeite em uma frigideira.
Doure o filé dos dois lados até ficar praticamente cozido.
Transfira para um refratário pequeno.
Espalhe o molho de tomate sobre o frango.
Cubra com a muçarela.
Distribua as rodelas de tomate.
Finalize com orégano.
Leve ao forno ou à Air Fryer preaquecida a 200°C por aproximadamente 8 minutos, até o queijo derreter e gratinar.
Finalize com folhas de manjericão fresco e sirva.</t>
  </si>
  <si>
    <t>Muçarela → queijo minas padrão ou muçarela zero lactose.
Frango → filé de peru.
Molho de tomate → molho caseiro de tomates frescos.</t>
  </si>
  <si>
    <t>Prato finalizado de Frango à Pizzaiolo Gratinado, servido em louça clara e fotografado de cima em luz natural.</t>
  </si>
  <si>
    <t>NL-052</t>
  </si>
  <si>
    <t>Abobrinha Recheada com Carne Moída e Queijo</t>
  </si>
  <si>
    <t>Low Carb • Rica em proteínas • Sem glúten</t>
  </si>
  <si>
    <t>1 abobrinha média (200 g)
Patinho moído (150 g)
Muçarela ralada (40 g)
Molho de tomate (60 g)
Cebola picada (30 g)
1 colher (chá) de azeite de oliva extravirgem (5 ml)
Alho a gosto
Sal a gosto
Páprica a gosto
Cheiro-verde a gosto</t>
  </si>
  <si>
    <t>Lave a abobrinha e corte ao meio no sentido do comprimento.
Retire cuidadosamente parte do miolo com uma colher, formando duas cavidades.
Pique o miolo retirado e reserve.
Aqueça o azeite em uma frigideira.
Refogue a cebola e o alho.
Acrescente o patinho e cozinhe até ficar bem soltinho e dourado.
Junte o miolo da abobrinha e o molho de tomate.
Tempere com sal, páprica e cheiro-verde.
Recheie as duas metades da abobrinha com a carne.
Cubra com a muçarela.
Leve ao forno preaquecido a 200°C por aproximadamente 20 minutos, até a abobrinha ficar macia e o queijo gratinar.
Sirva ainda quente.</t>
  </si>
  <si>
    <t>Patinho → frango desfiado.
Muçarela → queijo minas ou muçarela sem lactose.
Abobrinha → berinjela.</t>
  </si>
  <si>
    <t>Prato finalizado de Abobrinha Recheada com Carne Moída e Queijo, servido em louça clara e fotografado de cima em luz natural.</t>
  </si>
  <si>
    <t>NL-053</t>
  </si>
  <si>
    <t>Filé de Tilápia Crocante com Parmesão</t>
  </si>
  <si>
    <t>Low Carb • Rico em proteínas • Sem glúten* • Air Fryer Desde que todos os ingredientes utilizados sejam certificados sem glúten.</t>
  </si>
  <si>
    <t>Filé de tilápia (180 g)
Queijo parmesão ralado (25 g)
1 ovo pequeno batido (aproximadamente 40 g)
Farinha de linhaça (10 g)
Suco de ½ limão
Alho a gosto
Sal a gosto
Páprica a gosto
Pimenta-do-reino a gosto</t>
  </si>
  <si>
    <t>Tempere a tilápia com limão, alho, sal, páprica e pimenta-do-reino.
Em um prato, misture o parmesão com a farinha de linhaça.
Passe o filé no ovo batido, cobrindo toda a superfície.
Em seguida, passe na mistura de parmesão e linhaça.
Pressione levemente para que a cobertura fique bem aderida.
Coloque na cesta da Air Fryer preaquecida.
Asse a 190°C por aproximadamente 12 a 15 minutos.
Retire quando o peixe estiver cozido e a cobertura dourada e crocante.
Sirva imediatamente.</t>
  </si>
  <si>
    <t>Tilápia → linguado, pescada ou outro peixe branco.
Parmesão → queijo curado ralado.
Farinha de linhaça → farinha de amêndoas.</t>
  </si>
  <si>
    <t>Prato finalizado de Filé de Tilápia Crocante com Parmesão, servido em louça clara e fotografado de cima em luz natural.</t>
  </si>
  <si>
    <t>NL-054</t>
  </si>
  <si>
    <t>Rocambole de Carne Moída Recheado com Queijo</t>
  </si>
  <si>
    <t>Patinho moído (180 g)
Muçarela (40 g)
Cenoura ralada (30 g)
Cebola picada (30 g)
1 colher (sopa) de cheiro-verde (10 g)
1 ovo pequeno (aproximadamente 40 g)
Sal a gosto
Alho a gosto
Páprica a gosto
Pimenta-do-reino a gosto</t>
  </si>
  <si>
    <t>Coloque a carne moída em uma tigela.
Acrescente o ovo, a cebola, o cheiro-verde e os temperos.
Misture até obter uma massa homogênea.
Abra a carne sobre uma folha de papel-manteiga, formando um retângulo.
Distribua a muçarela e a cenoura sobre a carne, deixando as bordas livres.
Com auxílio do papel, enrole cuidadosamente formando um rocambole.
Feche bem as laterais para evitar que o recheio escape.
Transfira para uma assadeira.
Leve ao forno preaquecido a 200°C por aproximadamente 30 minutos.
Retire e aguarde cerca de 5 minutos antes de fatiar.</t>
  </si>
  <si>
    <t>1 porção grande</t>
  </si>
  <si>
    <t>Muçarela → queijo minas ou ricota temperada.
Patinho → frango moído.
Cenoura → espinafre refogado.</t>
  </si>
  <si>
    <t>Prato finalizado de Rocambole de Carne Moída Recheado com Queijo, servido em louça clara e fotografado de cima em luz natural.</t>
  </si>
  <si>
    <t>NL-055</t>
  </si>
  <si>
    <t>Frango Cremoso com Mostarda e Queijo</t>
  </si>
  <si>
    <t>Low Carb • Rico em proteínas • Prático</t>
  </si>
  <si>
    <t>Peito de frango em cubos (160 g)
Creme de leite leve ou zero lactose (40 g)
Queijo minas padrão ralado (30 g)
1 colher (sopa) de mostarda (15 g)
Cebola picada (30 g)
1 colher (chá) de azeite (5 ml)
Sal a gosto
Alho a gosto
Pimenta-do-reino a gosto
Cheiro-verde a gosto</t>
  </si>
  <si>
    <t>Tempere os cubos de frango com alho, sal e pimenta-do-reino.
Aqueça o azeite em uma frigideira.
Acrescente o frango e deixe dourar bem.
Junte a cebola e refogue até ficar macia.
Acrescente a mostarda.
Adicione o creme de leite e misture.
Cozinhe em fogo baixo por aproximadamente 3 minutos.
Acrescente o queijo minas.
Misture até derreter e formar um molho cremoso.
Finalize com cheiro-verde.</t>
  </si>
  <si>
    <t>Creme de leite → versão zero lactose ou creme de ricota.
Queijo minas → muçarela.
Frango → filé suíno em cubos.</t>
  </si>
  <si>
    <t>Prato finalizado de Frango Cremoso com Mostarda e Queijo, servido em louça clara e fotografado de cima em luz natural.</t>
  </si>
  <si>
    <t>NL-056</t>
  </si>
  <si>
    <t>Berinjela Recheada com Frango Cremoso</t>
  </si>
  <si>
    <t>1 berinjela pequena (200 g)
Frango cozido e desfiado (140 g)
Creme de ricota (40 g)
Tomate picado (50 g)
Muçarela ralada (30 g)
Cebola picada (20 g)
1 colher (chá) de azeite (5 ml)
Sal a gosto
Páprica a gosto
Cheiro-verde a gosto</t>
  </si>
  <si>
    <t>Corte a berinjela ao meio no sentido do comprimento.
Retire cuidadosamente parte da polpa.
Pique a polpa retirada e reserve.
Aqueça o azeite em uma frigideira.
Refogue a cebola.
Acrescente a polpa da berinjela e o tomate.
Adicione o frango desfiado.
Tempere com sal, páprica e cheiro-verde.
Acrescente o creme de ricota e misture até formar um recheio cremoso.
Distribua o recheio nas duas metades da berinjela.
Cubra com a muçarela.
Leve ao forno preaquecido a 200°C por aproximadamente 20 minutos.
Retire quando a berinjela estiver macia e o queijo gratinado.</t>
  </si>
  <si>
    <t>Creme de ricota → requeijão light ou zero lactose.
Frango → carne moída magra.
Muçarela → queijo minas padrão.</t>
  </si>
  <si>
    <t>Prato finalizado de Berinjela Recheada com Frango Cremoso, servido em louça clara e fotografado de cima em luz natural.</t>
  </si>
  <si>
    <t>NL-057</t>
  </si>
  <si>
    <t>Camarão ao Alho e Limão com Abobrinha Salteada</t>
  </si>
  <si>
    <t>Low Carb • Rico em proteínas • Sem glúten • Prático</t>
  </si>
  <si>
    <t>Camarão limpo (180 g)
Abobrinha em meia-lua (180 g)
2 dentes de alho amassados ou picados (6 g)
2 colheres (chá) de azeite de oliva extravirgem (10 ml)
Suco de ½ limão
Sal a gosto
Pimenta-do-reino a gosto
Páprica a gosto
Salsinha a gosto</t>
  </si>
  <si>
    <t>Tempere o camarão com limão, sal, pimenta-do-reino e páprica.
Aqueça metade do azeite em uma frigideira.
Acrescente o alho e deixe perfumar rapidamente, sem queimar.
Adicione o camarão.
Cozinhe por aproximadamente 2 minutos de cada lado, apenas até mudar de cor e ficar cozido.
Retire o camarão e reserve.
Na mesma frigideira, acrescente o restante do azeite.
Adicione a abobrinha.
Salteie em fogo alto até dourar, mantendo-a levemente firme.
Retorne o camarão à frigideira.
Misture por alguns segundos.
Finalize com salsinha e sirva.</t>
  </si>
  <si>
    <t>Camarão → cubos de peixe ou frango.
Abobrinha → brócolis ou aspargos.
Salsinha → coentro.</t>
  </si>
  <si>
    <t>Prato finalizado de Camarão ao Alho e Limão com Abobrinha Salteada, servido em louça clara e fotografado de cima em luz natural.</t>
  </si>
  <si>
    <t>NL-058</t>
  </si>
  <si>
    <t>Bife ao Molho Cremoso de Cebola com Brócolis</t>
  </si>
  <si>
    <t>Low Carb • Rico em proteínas • Sem glúten* Desde que a mostarda e os demais produtos utilizados sejam certificados sem glúten.</t>
  </si>
  <si>
    <t>Bife de alcatra ou contrafilé (160 g)
Brócolis cozido al dente (120 g)
Cebola fatiada (50 g)
Creme de leite leve (40 g)
1 colher (chá) de azeite (5 ml)
1 colher (chá) de mostarda (5 g)
Sal a gosto
Pimenta-do-reino a gosto</t>
  </si>
  <si>
    <t>Tempere o bife com sal e pimenta-do-reino.
Aqueça bem uma frigideira.
Grelhe o bife dos dois lados até atingir o ponto desejado.
Retire e reserve por alguns minutos.
Na mesma frigideira, acrescente o azeite.
Adicione a cebola e refogue até ficar macia e levemente dourada.
Acrescente o creme de leite e a mostarda.
Misture em fogo baixo até formar um molho cremoso.
Retorne o bife à frigideira por alguns segundos.
Sirva acompanhado do brócolis cozido al dente.</t>
  </si>
  <si>
    <t>Creme de leite → versão zero lactose.
Alcatra → filé mignon ou contrafilé.
Brócolis → couve-flor, abobrinha ou vagem.</t>
  </si>
  <si>
    <t>Prato finalizado de Bife ao Molho Cremoso de Cebola com Brócolis, servido em louça clara e fotografado de cima em luz natural.</t>
  </si>
  <si>
    <t>NL-059</t>
  </si>
  <si>
    <t>Frango Crocante à Parmegiana Low Carb</t>
  </si>
  <si>
    <t>Filé de peito de frango (160 g)
1 ovo pequeno (aproximadamente 40 g)
Queijo parmesão ralado (25 g)
Farinha de linhaça (15 g)
Molho de tomate (70 g)
Muçarela (40 g)
Sal a gosto
Alho a gosto
Páprica a gosto
Orégano a gosto</t>
  </si>
  <si>
    <t>Tempere o frango com alho, sal e páprica.
Bata levemente o ovo.
Em outro recipiente, misture o parmesão e a farinha de linhaça.
Passe o filé no ovo.
Em seguida, empane na mistura de parmesão e linhaça.
Coloque na Air Fryer preaquecida a 190°C.
Asse por aproximadamente 12 minutos, virando na metade do tempo.
Cubra o frango com o molho de tomate.
Distribua a muçarela sobre o molho.
Retorne à Air Fryer por mais 4 a 5 minutos.
Retire quando o queijo estiver derretido e gratinado.
Finalize com orégano.</t>
  </si>
  <si>
    <t>Muçarela → queijo minas padrão.
Parmesão → queijo curado ralado.
Frango → filé de peixe branco firme.
Acompanhar com salada, legumes assados ou purê de couve-flor.</t>
  </si>
  <si>
    <t>Prato finalizado de Frango Crocante à Parmegiana Low Carb, servido em louça clara e fotografado de cima em luz natural.</t>
  </si>
  <si>
    <t>NL-060</t>
  </si>
  <si>
    <t>Carne Desfiada com Repolho Cremoso</t>
  </si>
  <si>
    <t>Low Carb • Rica em proteínas • Sem glúten* • Refeição completa Desde que o requeijão e os demais produtos utilizados sejam certificados sem glúten.</t>
  </si>
  <si>
    <t>10 minutos, utilizando carne previamente cozida</t>
  </si>
  <si>
    <t>Carne bovina cozida e desfiada (150 g)
Repolho fatiado fino (150 g)
Tomate picado (50 g)
Cebola picada (30 g)
Requeijão light (30 g)
1 colher (chá) de azeite (5 ml)
Alho a gosto
Sal a gosto
Páprica a gosto
Pimenta-do-reino a gosto
Cheiro-verde a gosto</t>
  </si>
  <si>
    <t>Aqueça o azeite em uma frigideira grande.
Refogue a cebola e o alho.
Acrescente o repolho fatiado.
Refogue até ficar macio, porém ainda levemente crocante.
Acrescente o tomate.
Adicione a carne desfiada.
Tempere com sal, páprica e pimenta-do-reino.
Misture até a carne estar completamente aquecida.
Acrescente o requeijão light.
Misture em fogo baixo até envolver toda a preparação e formar um molho cremoso.
Finalize com cheiro-verde e sirva.</t>
  </si>
  <si>
    <t>Requeijão light → requeijão zero lactose ou creme de ricota.
Carne bovina → frango desfiado.
Repolho → acelga ou couve fatiada.</t>
  </si>
  <si>
    <t>Prato finalizado de Carne Desfiada com Repolho Cremoso, servido em louça clara e fotografado de cima em luz natural.</t>
  </si>
  <si>
    <t>NL-061</t>
  </si>
  <si>
    <t>Nachos Crocantes de Rap10 com Guacamole</t>
  </si>
  <si>
    <t>Lanche • Petisco de fim de semana</t>
  </si>
  <si>
    <t>Vegetariana • Prática • Air Fryer</t>
  </si>
  <si>
    <t>Nachos
1 unidade de Rap10 ou wrap (40 g)
1 colher (chá) de azeite (5 ml)
Páprica a gosto
Orégano a gosto
Guacamole
Abacate (70 g)
Tomate picado (40 g)
Cebola picada (10 g)
Suco de limão a gosto
Sal a gosto
Cheiro-verde a gosto</t>
  </si>
  <si>
    <t>Corte o Rap10 em triângulos.
Pincele o azeite sobre os pedaços.
Tempere com páprica e orégano.
Leve à Air Fryer preaquecida a 180°C por aproximadamente 6 a 8 minutos, até ficarem dourados e crocantes.
Enquanto isso, amasse o abacate com um garfo.
Acrescente o tomate e a cebola.
Tempere com limão, sal e cheiro-verde.
Misture até formar um guacamole rústico.
Sirva os nachos ainda crocantes com o guacamole.</t>
  </si>
  <si>
    <t>O guacamole pode ser conservado na geladeira por até 24 horas, bem fechado e com contato reduzido com o ar. Os nachos devem ser mantidos em recipiente seco e fechado.</t>
  </si>
  <si>
    <t>Rap10 → wrap integral ou versão sem glúten.
Guacamole → molho de iogurte temperado.
Cheiro-verde → coentro.</t>
  </si>
  <si>
    <t>Prato finalizado de Nachos Crocantes de Rap10 com Guacamole, servido em louça clara e fotografado de cima em luz natural.</t>
  </si>
  <si>
    <t>NL-062</t>
  </si>
  <si>
    <t>Pão de Alho Cremoso na Air Fryer</t>
  </si>
  <si>
    <t>Lanche • Petisco</t>
  </si>
  <si>
    <t>Vegetariana • Prática</t>
  </si>
  <si>
    <t>1 pão francês pequeno (50 g)
Requeijão (30 g)
Muçarela ralada (20 g)
1 dente pequeno de alho amassado (3 g)
1 colher (chá) de azeite (5 ml)
Salsinha a gosto
Orégano a gosto</t>
  </si>
  <si>
    <t>Misture o requeijão com o alho, o azeite e a salsinha.
Faça cortes no pão sem separar completamente as fatias.
Distribua o creme entre os cortes.
Acrescente a muçarela por cima.
Finalize com orégano.
Leve à Air Fryer preaquecida a 180°C por aproximadamente 5 a 7 minutos.
Retire quando o pão estiver crocante e o queijo derretido.</t>
  </si>
  <si>
    <t>Pão francês → pão integral ou pão de fermentação natural.
Requeijão → creme de ricota.
Muçarela → queijo minas padrão.</t>
  </si>
  <si>
    <t>Prato finalizado de Pão de Alho Cremoso na Air Fryer, servido em louça clara e fotografado de cima em luz natural.</t>
  </si>
  <si>
    <t>NL-063</t>
  </si>
  <si>
    <t>Frango Crocante em Tirinhas na Air Fryer</t>
  </si>
  <si>
    <t>Rico em proteínas • Air Fryer</t>
  </si>
  <si>
    <t>Peito de frango em tiras (150 g)
1 ovo pequeno
Farinha de aveia (25 g)
Parmesão ralado (15 g)
Páprica a gosto
Alho a gosto
Sal a gosto
Pimenta-do-reino a gosto</t>
  </si>
  <si>
    <t>Tempere as tiras de frango com alho, sal, páprica e pimenta-do-reino.
Bata levemente o ovo.
Em outro recipiente, misture a farinha de aveia com o parmesão.
Passe cada tira de frango no ovo.
Em seguida, empane na mistura de farinha e queijo.
Distribua na cesta da Air Fryer sem sobrepor.
Asse a 190°C por aproximadamente 15 minutos.
Vire na metade do tempo.
Retire quando estiverem douradas e completamente cozidas.</t>
  </si>
  <si>
    <t>Farinha de aveia → farinha de arroz.
Parmesão → queijo curado ralado.
Pode ser servido com molho de mostarda e iogurte ou molho de tomate temperado.</t>
  </si>
  <si>
    <t>Prato finalizado de Frango Crocante em Tirinhas na Air Fryer, servido em louça clara e fotografado de cima em luz natural.</t>
  </si>
  <si>
    <t>NL-064</t>
  </si>
  <si>
    <t>Mini Pizza no Pão Sírio</t>
  </si>
  <si>
    <t>Lanche • Jantar rápido</t>
  </si>
  <si>
    <t>Prática • Comfort food</t>
  </si>
  <si>
    <t>1 pão sírio pequeno (50 g)
Molho de tomate (60 g)
Muçarela (50 g)
Tomate em rodelas (50 g)
Orégano a gosto
Manjericão a gosto</t>
  </si>
  <si>
    <t>Coloque o pão sírio em uma assadeira ou diretamente na cesta da Air Fryer.
Espalhe o molho de tomate.
Distribua a muçarela.
Acrescente as rodelas de tomate.
Finalize com orégano.
Asse a 180°C por aproximadamente 7 a 8 minutos.
Retire quando o queijo estiver derretido e as bordas do pão crocantes.
Finalize com manjericão fresco.</t>
  </si>
  <si>
    <t>Pão sírio → pão sírio integral ou versão sem glúten.
Muçarela → queijo minas padrão.
Pode acrescentar milho, cebola, rúcula ou azeitonas.</t>
  </si>
  <si>
    <t>Prato finalizado de Mini Pizza no Pão Sírio, servido em louça clara e fotografado de cima em luz natural.</t>
  </si>
  <si>
    <t>NL-065</t>
  </si>
  <si>
    <t>Batata Rústica com Molho Cremoso de Ervas</t>
  </si>
  <si>
    <t>Vegetariana • Air Fryer</t>
  </si>
  <si>
    <t>Batatas
Batata inglesa com casca (200 g)
1 colher (chá) de azeite (5 ml)
Páprica a gosto
Alecrim a gosto
Sal a gosto
Pimenta-do-reino a gosto
Molho
Iogurte natural (60 g)
Mostarda (10 g)
Suco de limão a gosto
Cheiro-verde a gosto</t>
  </si>
  <si>
    <t>Lave bem as batatas e mantenha a casca.
Corte em gomos de tamanho semelhante.
Misture com azeite, páprica, alecrim, sal e pimenta.
Distribua na Air Fryer sem sobrepor.
Asse a 200°C por aproximadamente 20 a 25 minutos.
Mexa ou vire na metade do tempo.
Enquanto isso, misture o iogurte, a mostarda, o limão e o cheiro-verde.
Sirva as batatas bem quentes com o molho cremoso.</t>
  </si>
  <si>
    <t>Geladeira: até 2 dias, mantendo o molho separado.</t>
  </si>
  <si>
    <t>Batata inglesa → batata-doce.
Iogurte natural → iogurte zero lactose.
Alecrim → orégano ou tomilho.</t>
  </si>
  <si>
    <t>Prato finalizado de Batata Rústica com Molho Cremoso de Ervas, servido em louça clara e fotografado de cima em luz natural.</t>
  </si>
  <si>
    <t>NL-066</t>
  </si>
  <si>
    <t>Empadinha Rápida de Frango Cremoso</t>
  </si>
  <si>
    <t>Rica em proteínas • Air Fryer</t>
  </si>
  <si>
    <t>Massa
Farinha de aveia (50 g)
1 ovo inteiro (50 g)
Azeite (10 g)
1 pitada de sal
Recheio
Frango desfiado (70 g)
Requeijão (25 g)
Tomate picado (20 g)
Cheiro-verde a gosto</t>
  </si>
  <si>
    <t>Misture a farinha de aveia, o ovo, o azeite e o sal.
Trabalhe a massa até ficar moldável.
Divida entre 3 pequenas forminhas de silicone.
Forre o fundo e as laterais.
Misture o frango com o requeijão, o tomate e o cheiro-verde.
Distribua o recheio entre as forminhas.
Leve à Air Fryer a 180°C por aproximadamente 15 minutos.
Retire quando as bordas estiverem douradas e o recheio bem aquecido.</t>
  </si>
  <si>
    <t>3 empadinhas pequenas</t>
  </si>
  <si>
    <t>Frango → carne moída.
Requeijão → creme de ricota.
Farinha de aveia → farinha de aveia sem glúten certificada.</t>
  </si>
  <si>
    <t>Prato finalizado de Empadinha Rápida de Frango Cremoso, servido em louça clara e fotografado de cima em luz natural.</t>
  </si>
  <si>
    <t>NL-067</t>
  </si>
  <si>
    <t>Queijo Coalho Crocante com Tomate e Orégano</t>
  </si>
  <si>
    <t>Vegetariana • Rica em proteínas • Low Carb</t>
  </si>
  <si>
    <t>Queijo coalho em cubos (100 g)
Tomate-cereja (80 g)
Orégano a gosto
Pimenta-do-reino a gosto
Folhas de manjericão a gosto</t>
  </si>
  <si>
    <t>Corte o queijo coalho em cubos médios.
Distribua na cesta da Air Fryer.
Asse a 190°C por aproximadamente 5 a 7 minutos.
Retire quando estiver dourado por fora.
Sirva com os tomates-cereja.
Finalize com orégano, pimenta-do-reino e manjericão.</t>
  </si>
  <si>
    <t>Queijo coalho → queijo minas padrão firme.
Tomate-cereja → tomate italiano em cubos.
Para uma versão vegetariana mais criteriosa, escolher queijo produzido com coalho microbiano ou vegetal.</t>
  </si>
  <si>
    <t>Prato finalizado de Queijo Coalho Crocante com Tomate e Orégano, servido em louça clara e fotografado de cima em luz natural.</t>
  </si>
  <si>
    <t>NL-068</t>
  </si>
  <si>
    <t>Torradinhas de Alho com Creme de Ricota Temperado</t>
  </si>
  <si>
    <t>Torradas
2 fatias de pão integral (50 g)
1 colher (chá) de azeite (5 ml)
1 dente pequeno de alho
Creme
Ricota (60 g)
Requeijão (20 g)
Suco de limão a gosto
Sal a gosto
Pimenta-do-reino a gosto
Cheiro-verde a gosto</t>
  </si>
  <si>
    <t>Corte o pão em tiras.
Misture o azeite com o alho amassado.
Pincele a mistura sobre as tiras de pão.
Leve à Air Fryer a 180°C por aproximadamente 6 a 8 minutos.
Enquanto isso, amasse a ricota.
Acrescente o requeijão.
Tempere com limão, sal, pimenta e cheiro-verde.
Misture até formar um creme.
Sirva as torradas ainda crocantes com o creme.</t>
  </si>
  <si>
    <t>O creme pode ser mantido na geladeira por até 3 dias. As torradas devem ser mantidas separadas em recipiente seco e bem fechado.</t>
  </si>
  <si>
    <t>Requeijão → creme de ricota.
Pão integral → pão sem glúten.
Pode acrescentar ervas frescas ou tomate seco picado ao creme.</t>
  </si>
  <si>
    <t>Prato finalizado de Torradinhas de Alho com Creme de Ricota Temperado, servido em louça clara e fotografado de cima em luz natural.</t>
  </si>
  <si>
    <t>NL-069</t>
  </si>
  <si>
    <t>Mini Hambúrguer Caseiro com Queijo e Molho Especial</t>
  </si>
  <si>
    <t>Lanche • Fim de semana</t>
  </si>
  <si>
    <t>Rico em proteínas • Prático • Comfort food</t>
  </si>
  <si>
    <t>Hambúrguer
Patinho moído (100 g)
2 mini pães de hambúrguer (50 g no total)
Muçarela (30 g)
Tomate em rodelas (30 g)
Folhas de alface a gosto
Sal a gosto
Pimenta-do-reino a gosto
Páprica a gosto
Molho especial
Iogurte natural (20 g)
Mostarda (10 g)
Ketchup (5 g)
Páprica a gosto</t>
  </si>
  <si>
    <t>Tempere o patinho com sal, pimenta-do-reino e páprica.
Divida a carne em 2 partes iguais.
Modele dois mini hambúrgueres.
Aqueça uma frigideira antiaderente.
Grelhe por aproximadamente 3 minutos de cada lado, ou até estarem completamente cozidos.
Coloque a muçarela sobre os hambúrgueres ainda quentes.
Tampe por alguns segundos para derreter.
Misture o iogurte, a mostarda, o ketchup e a páprica.
Aqueça rapidamente os mini pães.
Espalhe o molho.
Acrescente o hambúrguer com queijo.
Finalize com tomate e alface.
Feche e sirva.</t>
  </si>
  <si>
    <t>2 mini hambúrgueres</t>
  </si>
  <si>
    <t>O hambúrguer preparado pode ser conservado na geladeira por até 3 dias. O sanduíche deve ser montado no momento do consumo.</t>
  </si>
  <si>
    <t>Patinho → acém magro ou peito de frango moído.
Muçarela → queijo minas padrão.
Mini pão tradicional → versão integral.</t>
  </si>
  <si>
    <t>Prato finalizado de Mini Hambúrguer Caseiro com Queijo e Molho Especial, servido em louça clara e fotografado de cima em luz natural.</t>
  </si>
  <si>
    <t>NL-070</t>
  </si>
  <si>
    <t>Banana Assada com Chocolate e Pasta de Amendoim</t>
  </si>
  <si>
    <t>Lanche • Sobremesa de fim de semana</t>
  </si>
  <si>
    <t>Vegetariana • Sem glúten* • Sem açúcar adicionado** Desde que todos os ingredientes utilizados sejam certificados sem glúten. Considerando chocolate e pasta de amendoim sem adição de açúcar.</t>
  </si>
  <si>
    <t>1 banana média (100 g)
Chocolate 70% (15 g)
Pasta de amendoim integral (10 g)
Canela a gosto
Castanhas picadas (5 g)</t>
  </si>
  <si>
    <t>Faça um corte longitudinal na banana sem atravessá-la completamente.
Abra delicadamente a parte central.
Distribua o chocolate picado dentro da banana.
Leve à Air Fryer a 180°C por aproximadamente 7 a 8 minutos.
Retire quando a banana estiver macia e o chocolate derretido.
Finalize com a pasta de amendoim.
Acrescente as castanhas picadas.
Salpique canela.
Sirva ainda quente.</t>
  </si>
  <si>
    <t>Pasta de amendoim → pasta de castanhas ou amêndoas.
Castanhas → amendoim torrado ou nozes.
Chocolate 70% → chocolate com maior percentual de cacau.</t>
  </si>
  <si>
    <t>Prato finalizado de Banana Assada com Chocolate e Pasta de Amendoim, servido em louça clara e fotografado de cima em luz natural.</t>
  </si>
  <si>
    <t>NL-071</t>
  </si>
  <si>
    <t>Frango Grelhado com Feijão-Branco e Legumes</t>
  </si>
  <si>
    <t>Indicada para diabetes • Rica em proteínas • Rica em fibras • Sem glúten</t>
  </si>
  <si>
    <t>Peito de frango (150 g)
Feijão-branco cozido e escorrido (70 g)
Abobrinha em cubos (80 g)
Cenoura em rodelas finas (60 g)
Tomate picado (50 g)
1 colher (chá) de azeite de oliva extravirgem (5 ml)
Alho a gosto
Sal a gosto
Páprica a gosto
Pimenta-do-reino a gosto
Cheiro-verde a gosto</t>
  </si>
  <si>
    <t>Tempere o frango com alho, sal, páprica e pimenta-do-reino.
Aqueça uma frigideira antiaderente e grelhe o frango dos dois lados até ficar dourado e completamente cozido.
Retire da frigideira e reserve.
Em outra frigideira, aqueça o azeite.
Acrescente a cenoura e refogue por alguns minutos.
Junte a abobrinha e o tomate.
Refogue até os legumes ficarem cozidos, mas ainda levemente firmes.
Acrescente o feijão-branco cozido.
Misture delicadamente para não desmanchar os grãos.
Ajuste os temperos e finalize com cheiro-verde.
Fatie o frango e sirva sobre ou ao lado dos legumes com feijão.</t>
  </si>
  <si>
    <t>Feijão-branco → feijão-preto, carioca ou fradinho.
Frango → peixe grelhado ou patinho em tiras.
Abobrinha → chuchu ou vagem.
Cenoura → abóbora em pequena quantidade.</t>
  </si>
  <si>
    <t>Prato finalizado de Frango Grelhado com Feijão-Branco e Legumes, servido em louça clara e fotografado de cima em luz natural.</t>
  </si>
  <si>
    <t>NL-072</t>
  </si>
  <si>
    <t>Carne Moída com Abóbora e Vagem</t>
  </si>
  <si>
    <t>Indicada para diabetes • Rica em proteínas • Fonte de fibras • Sem glúten</t>
  </si>
  <si>
    <t>Patinho moído (150 g)
Abóbora cabotiá em cubos (120 g)
Vagem picada (80 g)
Tomate picado (50 g)
Cebola picada (30 g)
1 colher (chá) de azeite (5 ml)
Alho a gosto
Sal a gosto
Pimenta-do-reino a gosto
Cheiro-verde a gosto</t>
  </si>
  <si>
    <t>Aqueça o azeite em uma panela.
Refogue a cebola e o alho.
Acrescente o patinho moído.
Cozinhe em fogo médio, mexendo para deixar a carne bem soltinha.
Quando estiver dourada, acrescente o tomate.
Junte a abóbora e a vagem.
Acrescente um pequeno volume de água.
Tampe a panela e cozinhe até os legumes ficarem macios, evitando deixar a abóbora desmanchar completamente.
Ajuste o sal e a pimenta-do-reino.
Finalize com cheiro-verde.</t>
  </si>
  <si>
    <t>Abóbora → chuchu ou abobrinha.
Patinho → frango moído.
Vagem → brócolis ou couve-flor.</t>
  </si>
  <si>
    <t>Prato finalizado de Carne Moída com Abóbora e Vagem, servido em louça clara e fotografado de cima em luz natural.</t>
  </si>
  <si>
    <t>NL-073</t>
  </si>
  <si>
    <t>Peixe Assado com Crosta de Ervas e Lentilha</t>
  </si>
  <si>
    <t>Indicada para diabetes • Rica em proteínas • Rica em fibras</t>
  </si>
  <si>
    <t>Peixe
Filé de peixe branco (170 g)
Farinha de aveia (10 g)
1 colher (chá) de azeite (5 ml)
Suco de limão a gosto
Alho a gosto
Salsinha a gosto
Sal a gosto
Pimenta-do-reino a gosto
Acompanhamento
Lentilha cozida e escorrida (80 g)
Tomate picado (80 g)
Cebola picada (50 g)</t>
  </si>
  <si>
    <t>Tempere o peixe com limão, alho, sal e pimenta-do-reino.
Misture a farinha de aveia com a salsinha e o azeite.
Distribua a mistura sobre a superfície do peixe, pressionando delicadamente para formar uma crosta fina.
Coloque em um refratário.
Leve ao forno preaquecido a 200°C por aproximadamente 15 a 20 minutos.
Enquanto isso, coloque a lentilha cozida em uma tigela.
Acrescente o tomate e a cebola.
Misture delicadamente e ajuste os temperos.
Retire o peixe quando estiver completamente cozido e com a crosta levemente dourada.
Sirva acompanhado da lentilha.</t>
  </si>
  <si>
    <t>Peixe branco → tilápia, pescada ou linguado.
Lentilha → feijão-fradinho ou grão-de-bico.
Farinha de aveia → farinha de linhaça ou aveia certificada sem glúten.</t>
  </si>
  <si>
    <t>Prato finalizado de Peixe Assado com Crosta de Ervas e Lentilha, servido em louça clara e fotografado de cima em luz natural.</t>
  </si>
  <si>
    <t>NL-074</t>
  </si>
  <si>
    <t>Picadinho de Carne com Quiabo e Arroz Integral</t>
  </si>
  <si>
    <t>Indicada para diabetes • Rica em proteínas • Refeição completa</t>
  </si>
  <si>
    <t>Patinho em cubos (140 g)
Quiabo (100 g)
Arroz integral cozido (70 g)
Tomate picado (60 g)
Cebola picada (30 g)
1 colher (chá) de azeite (5 ml)
Alho a gosto
Sal a gosto
Pimenta-do-reino a gosto</t>
  </si>
  <si>
    <t>Aqueça bem uma panela ou frigideira.
Acrescente o azeite e doure os cubos de carne.
Junte a cebola e o alho.
Refogue até a cebola ficar macia.
Acrescente o tomate.
Adicione o quiabo cortado em pedaços.
Cozinhe até ficar macio, mexendo delicadamente.
Ajuste o sal e a pimenta-do-reino.
Aqueça o arroz integral previamente cozido.
Sirva o picadinho acompanhado do arroz.</t>
  </si>
  <si>
    <t>Patinho → coxão mole.
Quiabo → vagem ou abobrinha.
Arroz integral → quinoa cozida.</t>
  </si>
  <si>
    <t>Prato finalizado de Picadinho de Carne com Quiabo e Arroz Integral, servido em louça clara e fotografado de cima em luz natural.</t>
  </si>
  <si>
    <t>NL-075</t>
  </si>
  <si>
    <t>Frango com Brócolis ao Molho de Iogurte e Limão</t>
  </si>
  <si>
    <t>Indicada para diabetes • Rica em proteínas • Low Carb</t>
  </si>
  <si>
    <t>Peito de frango em cubos (160 g)
Brócolis (150 g)
Iogurte natural (50 g)
1 colher (chá) de azeite (5 ml)
Suco de ½ limão
1 colher (chá) de mostarda (5 g)
Alho a gosto
Sal a gosto
Pimenta-do-reino a gosto</t>
  </si>
  <si>
    <t>Tempere o frango com alho, sal e pimenta-do-reino.
Aqueça o azeite em uma frigideira.
Acrescente o frango e deixe dourar bem.
Junte o brócolis.
Salteie até ficar cozido, mantendo alguma crocância.
Em um recipiente separado, misture o iogurte, o limão e a mostarda.
Desligue o fogo.
Acrescente o molho de iogurte à frigideira.
Misture delicadamente apenas até envolver o frango e o brócolis.
Sirva imediatamente.</t>
  </si>
  <si>
    <t>Iogurte natural → iogurte zero lactose.
Brócolis → couve-flor.
Frango → peixe branco em cubos.</t>
  </si>
  <si>
    <t>Prato finalizado de Frango com Brócolis ao Molho de Iogurte e Limão, servido em louça clara e fotografado de cima em luz natural.</t>
  </si>
  <si>
    <t>NL-076</t>
  </si>
  <si>
    <t>Omelete de Forno com Frango e Legumes</t>
  </si>
  <si>
    <t>Indicada para diabetes • Rica em proteínas • Sem glúten • Prática</t>
  </si>
  <si>
    <t>2 ovos inteiros (100 g)
Frango cozido e desfiado (80 g)
Abobrinha ralada (50 g)
Cenoura ralada (40 g)
Tomate picado (40 g)
Cebola picada (20 g)
Queijo minas (20 g)
Sal a gosto
Orégano a gosto
Cheiro-verde a gosto</t>
  </si>
  <si>
    <t>Preaqueça o forno a 180°C.
Quebre os ovos em uma tigela e bata ligeiramente com um garfo.
Acrescente o frango desfiado.
Junte a abobrinha, a cenoura, o tomate e a cebola.
Tempere com sal, orégano e cheiro-verde.
Misture até distribuir bem os ingredientes.
Transfira para um refratário individual.
Distribua o queijo minas por cima.
Leve ao forno por aproximadamente 20 minutos.
Retire quando o centro estiver firme e a superfície levemente dourada.</t>
  </si>
  <si>
    <t>Frango → atum ou carne moída.
Queijo minas → muçarela ou cottage.
Abobrinha → espinafre ou brócolis picado.</t>
  </si>
  <si>
    <t>Prato finalizado de Omelete de Forno com Frango e Legumes, servido em louça clara e fotografado de cima em luz natural.</t>
  </si>
  <si>
    <t>NL-077</t>
  </si>
  <si>
    <t>Lombo Suíno com Couve Refogada e Feijão</t>
  </si>
  <si>
    <t>Lombo suíno em bifes (150 g)
Feijão carioca cozido (80 g)
Couve fatiada finamente (80 g)
1 colher (chá) de azeite (5 ml)
1 dente de alho amassado
Suco de limão a gosto
Sal a gosto
Pimenta-do-reino a gosto</t>
  </si>
  <si>
    <t>Tempere o lombo com alho, limão, sal e pimenta-do-reino.
Aqueça bem uma frigideira antiaderente.
Grelhe os bifes dos dois lados até ficarem dourados e completamente cozidos.
Retire e reserve.
Na mesma frigideira ou em outra panela, aqueça o azeite.
Acrescente a couve.
Refogue rapidamente, apenas até murchar, preservando a textura e a cor.
Aqueça o feijão previamente cozido.
Sirva o lombo acompanhado da couve e do feijão.</t>
  </si>
  <si>
    <t>Lombo suíno → peito de frango.
Feijão carioca → feijão-preto ou fradinho.
Couve → brócolis ou escarola.</t>
  </si>
  <si>
    <t>Prato finalizado de Lombo Suíno com Couve Refogada e Feijão, servido em louça clara e fotografado de cima em luz natural.</t>
  </si>
  <si>
    <t>NL-078</t>
  </si>
  <si>
    <t>Frango com Berinjela e Tomate à Mediterrânea</t>
  </si>
  <si>
    <t>Indicada para diabetes • Rica em proteínas • Low Carb • Sem glúten</t>
  </si>
  <si>
    <t>Peito de frango em cubos (150 g)
Berinjela em cubos (150 g)
Tomate picado (100 g)
Cebola picada (30 g)
Azeitonas picadas (20 g)
1 colher (chá) de azeite (5 ml)
Alho a gosto
Orégano a gosto
Sal a gosto
Pimenta-do-reino a gosto</t>
  </si>
  <si>
    <t>Tempere os cubos de frango com alho, sal e pimenta-do-reino.
Aqueça o azeite em uma frigideira grande.
Acrescente o frango e deixe dourar.
Junte a cebola e o alho.
Acrescente a berinjela.
Refogue até começar a ficar macia.
Adicione o tomate e as azeitonas.
Misture e cozinhe por mais alguns minutos.
Ajuste o sal, lembrando que as azeitonas já apresentam sabor salgado.
Finalize com orégano e sirva.</t>
  </si>
  <si>
    <t>Frango → peixe branco em cubos.
Berinjela → abobrinha.
Azeitonas → alcaparras em pequena quantidade.</t>
  </si>
  <si>
    <t>Prato finalizado de Frango com Berinjela e Tomate à Mediterrânea, servido em louça clara e fotografado de cima em luz natural.</t>
  </si>
  <si>
    <t>NL-079</t>
  </si>
  <si>
    <t>Salmão com Purê Rústico de Couve-Flor e Alho</t>
  </si>
  <si>
    <t>Salmão
Filé de salmão (150 g)
Suco de limão a gosto
Sal a gosto
Pimenta-do-reino a gosto
Purê rústico
Couve-flor (180 g)
1 colher (chá) de azeite (5 ml)
1 dente de alho
Leite ou bebida vegetal sem açúcar (20 ml)
Sal a gosto
Pimenta-do-reino a gosto
Salsinha a gosto</t>
  </si>
  <si>
    <t>Tempere o salmão com limão, sal e pimenta-do-reino.
Grelhe em uma frigideira antiaderente ou asse até atingir o ponto desejado.
Enquanto isso, cozinhe a couve-flor até ficar bem macia.
Escorra completamente.
Amasse grosseiramente com um garfo ou amassador.
Acrescente o alho, o azeite e o leite aos poucos.
Misture até obter um purê cremoso, mantendo uma textura levemente rústica.
Ajuste o sal e a pimenta.
Finalize com salsinha.
Sirva o salmão acompanhado do purê.</t>
  </si>
  <si>
    <t>Salmão → tilápia ou outro peixe.
Couve-flor → brócolis.
Leite → bebida vegetal sem açúcar ou leite zero lactose.</t>
  </si>
  <si>
    <t>Prato finalizado de Salmão com Purê Rústico de Couve-Flor e Alho, servido em louça clara e fotografado de cima em luz natural.</t>
  </si>
  <si>
    <t>NL-080</t>
  </si>
  <si>
    <t>Almôndegas de Frango com Molho de Tomate e Abobrinha</t>
  </si>
  <si>
    <t>12 minutos</t>
  </si>
  <si>
    <t>Almôndegas
Frango moído (160 g)
Farinha de aveia (10 g)
Cebola ralada (20 g)
Alho a gosto
Sal a gosto
Páprica a gosto
Cheiro-verde a gosto
Molho e acompanhamento
Molho de tomate (120 g)
Abobrinha cortada em tiras finas (150 g)
1 colher (chá) de azeite (5 ml)</t>
  </si>
  <si>
    <t>Coloque o frango moído em uma tigela.
Acrescente a cebola, a farinha de aveia, o alho, o sal, a páprica e o cheiro-verde.
Misture até formar uma massa homogênea.
Modele pequenas almôndegas.
Aqueça uma frigideira antiaderente.
Doure as almôndegas de todos os lados.
Acrescente o molho de tomate.
Tampe e cozinhe em fogo baixo por aproximadamente 8 minutos ou até as almôndegas estarem completamente cozidas.
Em outra frigideira, aqueça o azeite.
Acrescente as tiras de abobrinha.
Salteie rapidamente, mantendo-as levemente firmes.
Coloque a abobrinha no prato e distribua as almôndegas com o molho por cima.
Finalize com cheiro-verde.</t>
  </si>
  <si>
    <t>Frango moído → patinho moído.
Farinha de aveia → farinha de linhaça ou aveia certificada sem glúten.
Abobrinha → berinjela ou brócolis.
Molho de tomate → molho caseiro de tomates frescos.</t>
  </si>
  <si>
    <t>Prato finalizado de Almôndegas de Frango com Molho de Tomate e Abobrinha, servido em louça clara e fotografado de cima em luz natural.</t>
  </si>
  <si>
    <t>NL-081</t>
  </si>
  <si>
    <t>Salada de Frango Grelhado com Manga e Molho de Mostarda</t>
  </si>
  <si>
    <t>Rica em proteínas • Fonte de fibras • Sem glúten</t>
  </si>
  <si>
    <t>Salada
Peito de frango grelhado em tiras (130 g)
Manga em cubos (80 g)
Alface (60 g)
Rúcula (40 g)
Tomate-cereja (60 g)
Cenoura ralada (30 g)
Molho
Iogurte natural (20 g)
Mostarda (10 g)
1 colher (chá) de azeite de oliva extravirgem (5 ml)
Suco de limão a gosto
Sal a gosto
Pimenta-do-reino a gosto</t>
  </si>
  <si>
    <t>Tempere o frango com sal e pimenta-do-reino.
Grelhe em frigideira antiaderente até dourar e ficar completamente cozido.
Corte em tiras e reserve.
Higienize e seque bem as folhas.
Disponha alface e rúcula em uma tigela.
Acrescente o tomate-cereja, a cenoura e a manga.
Distribua o frango sobre a salada.
Em um recipiente separado, misture o iogurte, a mostarda, o azeite e o limão.
Ajuste o sal e a pimenta.
Tempere a salada somente no momento de servir.</t>
  </si>
  <si>
    <t>Geladeira: até 24 horas, mantendo o molho separado.</t>
  </si>
  <si>
    <t>Manga → abacaxi ou maçã.
Iogurte natural → iogurte zero lactose.
Frango → camarão ou peixe grelhado.</t>
  </si>
  <si>
    <t>Prato finalizado de Salada de Frango Grelhado com Manga e Molho de Mostarda, servido em louça clara e fotografado de cima em luz natural.</t>
  </si>
  <si>
    <t>NL-082</t>
  </si>
  <si>
    <t>Salada Crocante de Carne em Tiras com Molho de Limão</t>
  </si>
  <si>
    <t>Rica em proteínas • Low Carb • Sem glúten</t>
  </si>
  <si>
    <t>Salada
Alcatra ou patinho em tiras (130 g)
Alface (70 g)
Repolho roxo fatiado (60 g)
Pepino (50 g)
Tomate (50 g)
Cenoura ralada (30 g)
1 colher (chá) de azeite (5 ml)
Molho
Suco de ½ limão
1 colher (chá) de azeite (5 ml)
1 colher (chá) de mostarda
Sal a gosto
Pimenta-do-reino a gosto</t>
  </si>
  <si>
    <t>Tempere a carne com sal e pimenta.
Aqueça bem uma frigideira.
Acrescente o azeite e grelhe a carne rapidamente até dourar.
Reserve mantendo a carne morna.
Misture alface, repolho, pepino, tomate e cenoura.
Distribua a carne sobre os vegetais.
Misture o limão, azeite e mostarda.
Ajuste sal e pimenta.
Tempere somente na hora de servir.</t>
  </si>
  <si>
    <t>Geladeira: até 24 horas, mantendo carne e molho separados quando possível.</t>
  </si>
  <si>
    <t>Alcatra → patinho ou filé mignon.
Repolho roxo → repolho branco.
Pepino → abobrinha crua em lâminas finas.</t>
  </si>
  <si>
    <t>Prato finalizado de Salada Crocante de Carne em Tiras com Molho de Limão, servido em louça clara e fotografado de cima em luz natural.</t>
  </si>
  <si>
    <t>NL-083</t>
  </si>
  <si>
    <t>Salada de Atum com Batata, Ovo e Vagem</t>
  </si>
  <si>
    <t>Rica em proteínas • Refeição completa • Sem glúten</t>
  </si>
  <si>
    <t>Salada
Atum em água escorrido (100 g)
Batata cozida em cubos (100 g)
1 ovo cozido (50 g)
Vagem cozida (80 g)
Tomate (60 g)
Folhas verdes (40 g)
Cebola roxa (20 g)
Molho
1 colher (chá) de azeite (5 ml)
Limão ou vinagre a gosto
1 colher (chá) de mostarda
Sal a gosto
Pimenta-do-reino a gosto</t>
  </si>
  <si>
    <t>Cozinhe a batata até ficar macia, mas firme.
Cozinhe a vagem até ficar al dente.
Cozinhe o ovo e corte em quartos.
Disponha as folhas verdes em uma tigela.
Acrescente a batata, a vagem, o tomate e a cebola.
Junte o atum escorrido.
Distribua o ovo.
Misture azeite, limão ou vinagre e mostarda.
Ajuste os temperos.
Regue a salada apenas na hora de servir.</t>
  </si>
  <si>
    <t>Batata inglesa → batata-doce.
Atum → frango desfiado.
Vagem → brócolis.</t>
  </si>
  <si>
    <t>Prato finalizado de Salada de Atum com Batata, Ovo e Vagem, servido em louça clara e fotografado de cima em luz natural.</t>
  </si>
  <si>
    <t>NL-084</t>
  </si>
  <si>
    <t>Salada de Frango com Abacaxi e Molho Cremoso</t>
  </si>
  <si>
    <t>Rica em proteínas • Refrescante • Sem glúten</t>
  </si>
  <si>
    <t>Salada
Frango grelhado em cubos (130 g)
Abacaxi em cubos (80 g)
Alface americana (60 g)
Repolho fatiado (40 g)
Cenoura ralada (40 g)
Milho (30 g)
Molho
Iogurte natural (30 g)
1 colher (chá) de mostarda
Suco de limão a gosto
Sal a gosto
Pimenta-do-reino a gosto</t>
  </si>
  <si>
    <t>Tempere e grelhe o frango.
Corte em cubos e reserve.
Em uma tigela, misture alface, repolho e cenoura.
Acrescente o milho.
Junte o abacaxi.
Distribua o frango sobre os vegetais.
Misture o iogurte com mostarda e limão.
Ajuste sal e pimenta.
Envolva a salada no molho somente na hora de consumir.</t>
  </si>
  <si>
    <t>Abacaxi → manga.
Frango → camarão.
Iogurte → versão zero lactose.</t>
  </si>
  <si>
    <t>Prato finalizado de Salada de Frango com Abacaxi e Molho Cremoso, servido em louça clara e fotografado de cima em luz natural.</t>
  </si>
  <si>
    <t>NL-085</t>
  </si>
  <si>
    <t>Salada de Salmão com Abacate e Pepino</t>
  </si>
  <si>
    <t>Rica em proteínas • Fonte de gorduras insaturadas • Low Carb • Sem glúten</t>
  </si>
  <si>
    <t>Salada
Salmão grelhado (130 g)
Abacate (60 g)
Pepino (70 g)
Tomate-cereja (60 g)
Folhas verdes (50 g)
Cebola roxa (20 g)
Molho
Suco de ½ limão
1 colher (chá) de azeite (5 ml)
Sal a gosto
Pimenta-do-reino a gosto
Ervas a gosto</t>
  </si>
  <si>
    <t>Tempere o salmão com sal e pimenta.
Grelhe até atingir o ponto desejado.
Higienize e seque as folhas.
Misture as folhas com pepino, tomate e cebola.
Acrescente o abacate em cubos.
Corte o salmão em pedaços grandes.
Distribua sobre a salada.
Misture limão, azeite e ervas.
Regue no momento de servir.</t>
  </si>
  <si>
    <t>Geladeira: até 24 horas, preferencialmente mantendo salmão e molho separados.</t>
  </si>
  <si>
    <t>Salmão → atum fresco ou tilápia.
Abacate → avocado.
Pepino → abobrinha crua em lâminas finas.</t>
  </si>
  <si>
    <t>Prato finalizado de Salada de Salmão com Abacate e Pepino, servido em louça clara e fotografado de cima em luz natural.</t>
  </si>
  <si>
    <t>NL-086</t>
  </si>
  <si>
    <t>Salada de Frango com Grão-de-Bico e Tomate</t>
  </si>
  <si>
    <t>Rica em proteínas • Rica em fibras • Refeição completa</t>
  </si>
  <si>
    <t>Salada
Frango grelhado em cubos (110 g)
Grão-de-bico cozido (80 g)
Tomate (80 g)
Pepino (60 g)
Cebola roxa (30 g)
Folhas verdes (40 g)
Cheiro-verde a gosto
Molho
1 colher (chá) de azeite (5 ml)
Suco de limão a gosto
Sal a gosto
Páprica a gosto
Pimenta-do-reino a gosto</t>
  </si>
  <si>
    <t>Tempere e grelhe o frango.
Corte em cubos.
Em uma tigela, misture o grão-de-bico, tomate, pepino e cebola.
Acrescente as folhas verdes.
Junte o frango.
Tempere com azeite, limão, páprica, sal e pimenta.
Finalize com cheiro-verde.
Misture delicadamente e sirva.</t>
  </si>
  <si>
    <t>Grão-de-bico → lentilha ou feijão-fradinho.
Frango → atum ou carne em tiras.
Pepino → abobrinha crua.</t>
  </si>
  <si>
    <t>Prato finalizado de Salada de Frango com Grão-de-Bico e Tomate, servido em louça clara e fotografado de cima em luz natural.</t>
  </si>
  <si>
    <t>NL-087</t>
  </si>
  <si>
    <t>Salada Caesar Leve com Frango</t>
  </si>
  <si>
    <t>Rica em proteínas • Prática</t>
  </si>
  <si>
    <t>Salada
Peito de frango grelhado (140 g)
Alface romana ou americana (100 g)
Parmesão ralado (15 g)
Pão integral em cubinhos (20 g)
Molho Caesar leve
Iogurte natural (40 g)
1 colher (chá) de mostarda
1 colher (chá) de azeite (5 ml)
Suco de limão a gosto
½ dente pequeno de alho
Sal a gosto
Pimenta-do-reino a gosto</t>
  </si>
  <si>
    <t>Corte o pão em cubinhos.
Doure na Air Fryer ou frigideira até ficar crocante.
Tempere e grelhe o frango.
Corte em tiras.
Disponha a alface em uma tigela.
Acrescente o frango.
Distribua o parmesão.
Acrescente os croutons.
Misture iogurte, mostarda, azeite, limão e alho.
Tempere com sal e pimenta.
Regue a salada somente na hora de servir.</t>
  </si>
  <si>
    <t>Geladeira: até 24 horas, mantendo molho e croutons separados.</t>
  </si>
  <si>
    <t>Croutons → podem ser retirados para reduzir os carboidratos.
Parmesão → queijo minas padrão.
Iogurte → versão zero lactose.</t>
  </si>
  <si>
    <t>Prato finalizado de Salada Caesar Leve com Frango, servido em louça clara e fotografado de cima em luz natural.</t>
  </si>
  <si>
    <t>NL-088</t>
  </si>
  <si>
    <t>Salada de Camarão com Manga, Pepino e Folhas</t>
  </si>
  <si>
    <t>Salada
Camarão limpo (150 g)
Manga (70 g)
Pepino (60 g)
Rúcula (50 g)
Tomate-cereja (50 g)
1 colher (chá) de azeite (5 ml)
Alho a gosto
Sal a gosto
Pimenta-do-reino a gosto
Molho
Suco de limão a gosto
1 colher (chá) de azeite (5 ml)
Cheiro-verde ou coentro a gosto</t>
  </si>
  <si>
    <t>Tempere o camarão com alho, sal e pimenta.
Aqueça o azeite em uma frigideira.
Doure os camarões rapidamente por aproximadamente 2 minutos de cada lado.
Retire e reserve.
Em uma tigela, misture rúcula, pepino, tomate e manga.
Acrescente os camarões.
Misture limão, azeite e ervas.
Regue a salada apenas no momento de servir.</t>
  </si>
  <si>
    <t>Camarão → peixe branco grelhado.
Manga → abacaxi.
Rúcula → mix de folhas.</t>
  </si>
  <si>
    <t>Prato finalizado de Salada de Camarão com Manga, Pepino e Folhas, servido em louça clara e fotografado de cima em luz natural.</t>
  </si>
  <si>
    <t>NL-089</t>
  </si>
  <si>
    <t>Salada de Ovos com Batata-Doce e Molho de Iogurte</t>
  </si>
  <si>
    <t>Vegetariana • Rica em proteínas • Fonte de fibras • Sem glúten</t>
  </si>
  <si>
    <t>Salada
2 ovos cozidos (100 g)
Batata-doce cozida em cubos (120 g)
Folhas verdes (60 g)
Tomate (60 g)
Pepino (50 g)
Cenoura ralada (30 g)
Molho
Iogurte natural (50 g)
1 colher (chá) de mostarda
Suco de limão a gosto
Sal a gosto
Pimenta-do-reino a gosto</t>
  </si>
  <si>
    <t>Cozinhe os ovos.
Cozinhe a batata-doce até ficar macia, mantendo os cubos firmes.
Higienize e seque as folhas.
Misture folhas, tomate, pepino e cenoura.
Acrescente a batata-doce.
Corte os ovos e distribua sobre a salada.
Misture o iogurte com mostarda e limão.
Tempere com sal e pimenta.
Regue somente na hora de servir.</t>
  </si>
  <si>
    <t>Batata-doce → batata inglesa.
Iogurte → versão zero lactose.
Para aumentar o teor proteico, acrescentar cottage (50 g), recalculando os macros.</t>
  </si>
  <si>
    <t>Prato finalizado de Salada de Ovos com Batata-Doce e Molho de Iogurte, servido em louça clara e fotografado de cima em luz natural.</t>
  </si>
  <si>
    <t>NL-090</t>
  </si>
  <si>
    <t>Salada de Carne Desfiada com Feijão-Fradinho e Vinagrete</t>
  </si>
  <si>
    <t>Rica em proteínas • Rica em fibras • Sem glúten</t>
  </si>
  <si>
    <t>10 minutos, utilizando a carne previamente cozida</t>
  </si>
  <si>
    <t>Salada
Carne bovina cozida e desfiada (120 g)
Feijão-fradinho cozido (80 g)
Tomate em cubos (80 g)
Pimentão (40 g)
Cebola (30 g)
Folhas verdes (40 g)
Cheiro-verde a gosto
Molho
1 colher (chá) de azeite (5 ml)
Vinagre ou limão a gosto
Sal a gosto
Pimenta-do-reino a gosto</t>
  </si>
  <si>
    <t>Coloque o feijão-fradinho em uma tigela.
Acrescente tomate, pimentão e cebola.
Misture delicadamente.
Adicione a carne desfiada.
Acrescente as folhas verdes.
Misture azeite, vinagre ou limão.
Tempere com sal e pimenta.
Regue a salada.
Finalize com bastante cheiro-verde.
Sirva fria ou em temperatura ambiente.</t>
  </si>
  <si>
    <t>Carne bovina → patinho, acém magro ou músculo desfiado.
Feijão-fradinho → feijão-branco.
Pimentão → pepino ou cenoura.</t>
  </si>
  <si>
    <t>Prato finalizado de Salada de Carne Desfiada com Feijão-Fradinho e Vinagrete, servido em louça clara e fotografado de cima em luz natural.</t>
  </si>
  <si>
    <t>NL-091</t>
  </si>
  <si>
    <t>Molho Cremoso de Mostarda e Mel</t>
  </si>
  <si>
    <t>Molhos • Acompanhamentos para saladas</t>
  </si>
  <si>
    <t>Vegetariano • Cremoso • Prático</t>
  </si>
  <si>
    <t>Iogurte natural (40 g)
Mostarda (10 g)
Mel (5 g)
1 colher (chá) de azeite de oliva extravirgem (5 ml)
Suco de limão a gosto
Sal a gosto
Pimenta-do-reino a gosto</t>
  </si>
  <si>
    <t>Coloque o iogurte em um recipiente pequeno.
Acrescente a mostarda e o mel.
Adicione o azeite.
Tempere com limão, sal e pimenta-do-reino.
Misture vigorosamente até obter um molho homogêneo e cremoso.
Mantenha refrigerado até o momento de servir.</t>
  </si>
  <si>
    <t>Iogurte natural → iogurte zero lactose.
Mel → melado ou retirar para uma versão menos adocicada.
Mostarda tradicional → mostarda Dijon.</t>
  </si>
  <si>
    <t>Prato finalizado de Molho Cremoso de Mostarda e Mel, servido em louça clara e fotografado de cima em luz natural.</t>
  </si>
  <si>
    <t>NL-092</t>
  </si>
  <si>
    <t>Molho de Iogurte com Limão e Ervas</t>
  </si>
  <si>
    <t>Vegetariano • Leve • Prático</t>
  </si>
  <si>
    <t>Iogurte natural (60 g)
Suco de ½ limão
1 colher (chá) de azeite de oliva extravirgem (5 ml)
Salsinha picada a gosto
Cebolinha picada a gosto
Sal a gosto
Pimenta-do-reino a gosto</t>
  </si>
  <si>
    <t>Coloque o iogurte em uma tigela.
Acrescente o suco de limão.
Adicione o azeite.
Junte a salsinha e a cebolinha.
Tempere com sal e pimenta.
Misture até ficar cremoso e homogêneo.
Sirva gelado ou mantenha refrigerado até o consumo.</t>
  </si>
  <si>
    <t>Iogurte natural → versão zero lactose.
Salsinha e cebolinha → hortelã, dill ou manjericão.</t>
  </si>
  <si>
    <t>Prato finalizado de Molho de Iogurte com Limão e Ervas, servido em louça clara e fotografado de cima em luz natural.</t>
  </si>
  <si>
    <t>NL-093</t>
  </si>
  <si>
    <t>Molho de Laranja com Mostarda</t>
  </si>
  <si>
    <t>Vegetariano • Refrescante • Agridoce</t>
  </si>
  <si>
    <t>Suco natural de laranja (30 ml)
Mostarda (10 g)
1 colher (chá) de azeite (5 ml)
1 colher (chá) de vinagre (5 ml)
Sal a gosto
Pimenta-do-reino a gosto</t>
  </si>
  <si>
    <t>Coloque o suco de laranja em um recipiente.
Acrescente a mostarda e o vinagre.
Adicione o azeite lentamente.
Tempere com sal e pimenta.
Misture vigorosamente até o molho ficar uniforme.
Sirva imediatamente ou mantenha refrigerado.</t>
  </si>
  <si>
    <t>Aproximadamente 3 porções</t>
  </si>
  <si>
    <t>Laranja → tangerina.
Vinagre → vinagre de maçã.
Mostarda tradicional → mostarda Dijon.</t>
  </si>
  <si>
    <t>Prato finalizado de Molho de Laranja com Mostarda, servido em louça clara e fotografado de cima em luz natural.</t>
  </si>
  <si>
    <t>NL-094</t>
  </si>
  <si>
    <t>Molho Cremoso de Alho</t>
  </si>
  <si>
    <t>Molhos • Acompanhamentos para saladas e legumes</t>
  </si>
  <si>
    <t>Iogurte natural (50 g)
½ dente pequeno de alho amassado
1 colher (chá) de azeite (5 ml)
Suco de limão a gosto
Sal a gosto
Cheiro-verde a gosto</t>
  </si>
  <si>
    <t>Coloque o iogurte em uma tigela.
Acrescente o alho bem amassado.
Adicione o azeite e algumas gotas de limão.
Tempere com sal.
Acrescente o cheiro-verde.
Misture bem.
Deixe descansar na geladeira por 10 a 15 minutos antes de servir para intensificar o sabor.</t>
  </si>
  <si>
    <t>Iogurte → iogurte zero lactose.
Cheiro-verde → salsinha, cebolinha ou dill.</t>
  </si>
  <si>
    <t>Prato finalizado de Molho Cremoso de Alho, servido em louça clara e fotografado de cima em luz natural.</t>
  </si>
  <si>
    <t>NL-095</t>
  </si>
  <si>
    <t>Molho de Azeite, Limão e Orégano</t>
  </si>
  <si>
    <t>Vegano • Sem lactose • Sem glúten • Prático</t>
  </si>
  <si>
    <t>2 minutos</t>
  </si>
  <si>
    <t>1 colher (sopa) de azeite de oliva extravirgem (10 ml)
Suco de ½ limão
1 colher (chá) de água (5 ml)
Orégano a gosto
Sal a gosto
Pimenta-do-reino a gosto</t>
  </si>
  <si>
    <t>Coloque o azeite, o limão e a água em um recipiente pequeno.
Acrescente orégano, sal e pimenta.
Misture vigorosamente com um garfo até formar uma emulsão.
Utilize imediatamente sobre a salada.</t>
  </si>
  <si>
    <t>Pode ser mantido na geladeira por até 3 dias. Misture novamente antes de usar.</t>
  </si>
  <si>
    <t>Limão → vinagre de maçã.
Orégano → manjericão seco, tomilho ou ervas finas.</t>
  </si>
  <si>
    <t>Prato finalizado de Molho de Azeite, Limão e Orégano, servido em louça clara e fotografado de cima em luz natural.</t>
  </si>
  <si>
    <t>NL-096</t>
  </si>
  <si>
    <t>Molho Rosé Leve</t>
  </si>
  <si>
    <t>Iogurte natural (40 g)
Ketchup (10 g)
Mostarda (5 g)
Algumas gotas de limão
Páprica a gosto
Pimenta-do-reino a gosto</t>
  </si>
  <si>
    <t>Coloque o iogurte em uma tigela.
Acrescente o ketchup e a mostarda.
Adicione algumas gotas de limão.
Tempere com páprica e pimenta.
Misture até ficar uniforme e cremoso.
Mantenha refrigerado até servir.</t>
  </si>
  <si>
    <t>Iogurte → versão zero lactose.
Ketchup tradicional → ketchup sem adição de açúcar.
Mostarda → mostarda Dijon.</t>
  </si>
  <si>
    <t>Prato finalizado de Molho Rosé Leve, servido em louça clara e fotografado de cima em luz natural.</t>
  </si>
  <si>
    <t>NL-097</t>
  </si>
  <si>
    <t>Molho de Vinagre Balsâmico e Mel</t>
  </si>
  <si>
    <t>Vegetariano • Agridoce • Prático</t>
  </si>
  <si>
    <t>Vinagre balsâmico (10 ml)
1 colher (chá) de azeite (5 ml)
Mel (5 g)
1 colher (chá) de água (5 ml)
Sal a gosto
Pimenta-do-reino a gosto</t>
  </si>
  <si>
    <t>Coloque o vinagre balsâmico e o mel em um recipiente.
Misture até dissolver.
Acrescente a água.
Adicione o azeite.
Tempere com sal e pimenta.
Misture vigorosamente até ficar uniforme.</t>
  </si>
  <si>
    <t>Geladeira: até 5 dias, em recipiente fechado.</t>
  </si>
  <si>
    <t>Mel → melado.
Vinagre balsâmico → vinagre de vinho tinto, com sabor diferente.</t>
  </si>
  <si>
    <t>Prato finalizado de Molho de Vinagre Balsâmico e Mel, servido em louça clara e fotografado de cima em luz natural.</t>
  </si>
  <si>
    <t>NL-098</t>
  </si>
  <si>
    <t>Molho Cremoso de Parmesão</t>
  </si>
  <si>
    <t>Vegetariano* • Fonte de proteínas • Cremoso Para uma versão vegetariana criteriosa, utilizar parmesão elaborado com coalho microbiano ou vegetal.</t>
  </si>
  <si>
    <t>4 minutos</t>
  </si>
  <si>
    <t>Iogurte natural (50 g)
Parmesão ralado (15 g)
1 colher (chá) de azeite (5 ml)
Suco de limão a gosto
Pimenta-do-reino a gosto</t>
  </si>
  <si>
    <t>Coloque o iogurte em uma tigela.
Acrescente o parmesão.
Adicione o azeite e o limão.
Tempere com pimenta-do-reino.
Misture até obter um creme homogêneo.
Se desejar uma textura mais fluida, acrescente uma pequena quantidade de água.</t>
  </si>
  <si>
    <t>Iogurte → iogurte zero lactose.
Parmesão → queijo minas padrão ralado.
Limão → limão-siciliano.</t>
  </si>
  <si>
    <t>Prato finalizado de Molho Cremoso de Parmesão, servido em louça clara e fotografado de cima em luz natural.</t>
  </si>
  <si>
    <t>NL-099</t>
  </si>
  <si>
    <t>Molho de Maracujá com Mostarda</t>
  </si>
  <si>
    <t>Vegetariano • Agridoce • Refrescante</t>
  </si>
  <si>
    <t>Polpa de maracujá (30 g)
Mostarda (10 g)
Mel (5 g)
1 colher (chá) de azeite (5 ml)
1 colher (sopa) de água (15 ml)
1 pitada de sal</t>
  </si>
  <si>
    <t>Coloque a polpa de maracujá em um recipiente.
Acrescente a mostarda e o mel.
Adicione o azeite e a água.
Tempere com uma pequena pitada de sal.
Misture vigorosamente até formar um molho levemente encorpado.
Sirva sobre a salada apenas no momento do consumo.</t>
  </si>
  <si>
    <t>Mel → melado.
Maracujá → manga batida ou suco concentrado de laranja.
Mostarda tradicional → Dijon.</t>
  </si>
  <si>
    <t>Prato finalizado de Molho de Maracujá com Mostarda, servido em louça clara e fotografado de cima em luz natural.</t>
  </si>
  <si>
    <t>NL-100</t>
  </si>
  <si>
    <t>Molho Cremoso de Requeijão e Ervas</t>
  </si>
  <si>
    <t>Requeijão (30 g)
Iogurte natural (30 g)
Água (15 ml)
Suco de limão a gosto
Salsinha a gosto
Cebolinha a gosto
Orégano a gosto
Sal a gosto
Pimenta-do-reino a gosto</t>
  </si>
  <si>
    <t>Coloque o requeijão e o iogurte em uma tigela.
Misture até formar um creme.
Acrescente a água aos poucos para ajustar a consistência.
Adicione o limão.
Acrescente salsinha, cebolinha e orégano.
Tempere com sal e pimenta-do-reino.
Misture novamente até ficar uniforme.
Mantenha refrigerado até servir.</t>
  </si>
  <si>
    <t>Requeijão → requeijão light, zero lactose ou creme de ricota.
Iogurte natural → iogurte zero lactose.
Salsinha e cebolinha → manjericão, dill ou outras ervas frescas.</t>
  </si>
  <si>
    <t>Prato finalizado de Molho Cremoso de Requeijão e Ervas, servido em louça clara e fotografado de cima em luz natural.</t>
  </si>
  <si>
    <t>NL-101</t>
  </si>
  <si>
    <t>Salada Crocante de Repolho com Maçã e Cenoura</t>
  </si>
  <si>
    <t>Acompanhamento • Almoço • Jantar</t>
  </si>
  <si>
    <t>Vegetariana • Rica em fibras • Refrescante</t>
  </si>
  <si>
    <t>Salada
Repolho roxo fatiado fino (80 g)
Repolho branco fatiado fino (60 g)
Maçã em tiras finas (60 g)
Cenoura ralada (50 g)
Cebola roxa fatiada (20 g)
Molho
Iogurte natural (20 g)
1 colher (chá) de mostarda (5 g)
Suco de limão a gosto
Sal a gosto
Pimenta-do-reino a gosto</t>
  </si>
  <si>
    <t>Higienize os vegetais e a maçã.
Fatie finamente os dois tipos de repolho.
Acrescente a cenoura, a maçã e a cebola roxa.
Em outro recipiente, misture o iogurte, a mostarda e o limão.
Tempere com sal e pimenta.
Misture o molho à salada apenas na hora de servir.
Sirva imediatamente ou mantenha refrigerada.</t>
  </si>
  <si>
    <t>Geladeira: até 24 horas, preferencialmente com o molho separado.</t>
  </si>
  <si>
    <t>Maçã → pera.
Iogurte natural → iogurte zero lactose.
Repolho roxo → aumentar a quantidade de repolho branco.</t>
  </si>
  <si>
    <t>Prato finalizado de Salada Crocante de Repolho com Maçã e Cenoura, servido em louça clara e fotografado de cima em luz natural.</t>
  </si>
  <si>
    <t>NL-102</t>
  </si>
  <si>
    <t>Salada de Folhas com Morango e Vinagrete Balsâmico</t>
  </si>
  <si>
    <t>Acompanhamento</t>
  </si>
  <si>
    <t>Vegetariana • Refrescante • Prática</t>
  </si>
  <si>
    <t>Salada
Alface (50 g)
Rúcula (30 g)
Morangos fatiados (80 g)
Tomate-cereja (50 g)
Cebola roxa (20 g)
Molho
1 colher (chá) de azeite (5 ml)
Vinagre balsâmico (10 ml)
1 colher (chá) de mel (5 g)
Sal a gosto
Pimenta-do-reino a gosto</t>
  </si>
  <si>
    <t>Higienize e seque bem as folhas.
Fatie os morangos.
Corte os tomates-cereja ao meio.
Fatie finamente a cebola.
Misture os ingredientes da salada.
Em um recipiente pequeno, misture azeite, vinagre balsâmico e mel.
Tempere com sal e pimenta.
Regue apenas no momento de servir.</t>
  </si>
  <si>
    <t>Geladeira: até 24 horas, com o molho separado.</t>
  </si>
  <si>
    <t>Morango → uvas cortadas ao meio.
Rúcula → agrião.
Mel → melado.</t>
  </si>
  <si>
    <t>Prato finalizado de Salada de Folhas com Morango e Vinagrete Balsâmico, servido em louça clara e fotografado de cima em luz natural.</t>
  </si>
  <si>
    <t>NL-103</t>
  </si>
  <si>
    <t>Salada de Pepino Cremosa com Limão e Hortelã</t>
  </si>
  <si>
    <t>Pepino em rodelas finas (180 g)
Cebola roxa fatiada (30 g)
Iogurte natural (40 g)
Suco de ½ limão
Hortelã picada a gosto
Sal a gosto
Pimenta-do-reino a gosto</t>
  </si>
  <si>
    <t>Fatie o pepino bem fino.
Acrescente a cebola roxa.
Em outro recipiente, misture o iogurte e o limão.
Tempere com sal e pimenta.
Acrescente a hortelã.
Envolva o pepino e a cebola no molho.
Leve à geladeira por alguns minutos, se desejar servir mais gelada.</t>
  </si>
  <si>
    <t>Hortelã → cheiro-verde.
Iogurte → versão zero lactose.
Cebola roxa → cebola branca em pequena quantidade.</t>
  </si>
  <si>
    <t>Prato finalizado de Salada de Pepino Cremosa com Limão e Hortelã, servido em louça clara e fotografado de cima em luz natural.</t>
  </si>
  <si>
    <t>NL-104</t>
  </si>
  <si>
    <t>Salada de Tomate, Manga e Cebola Roxa</t>
  </si>
  <si>
    <t>Vegetariana • Sem glúten • Refrescante</t>
  </si>
  <si>
    <t>Tomate em cubos (150 g)
Manga em cubos (100 g)
Cebola roxa fatiada (30 g)
Suco de ½ limão
1 colher (chá) de azeite (5 ml)
Cheiro-verde a gosto
Sal a gosto
Pimenta-do-reino a gosto</t>
  </si>
  <si>
    <t>Corte o tomate e a manga em cubos.
Fatie finamente a cebola.
Misture os três ingredientes.
Tempere com limão e azeite.
Acrescente sal e pimenta.
Finalize com cheiro-verde.
Sirva imediatamente.</t>
  </si>
  <si>
    <t>Manga → abacaxi.
Cheiro-verde → coentro.
Tomate → tomate-cereja.</t>
  </si>
  <si>
    <t>Prato finalizado de Salada de Tomate, Manga e Cebola Roxa, servido em louça clara e fotografado de cima em luz natural.</t>
  </si>
  <si>
    <t>NL-105</t>
  </si>
  <si>
    <t>Salada de Abobrinha Crua com Limão e Ervas</t>
  </si>
  <si>
    <t>Vegetariana • Low Carb • Sem glúten</t>
  </si>
  <si>
    <t>Abobrinha fatiada bem fina (200 g)
Tomate-cereja (60 g)
Cebola roxa (20 g)
Suco de ½ limão
1 colher (chá) de azeite (5 ml)
Orégano a gosto
Manjericão a gosto
Sal a gosto
Pimenta-do-reino a gosto</t>
  </si>
  <si>
    <t>Fatie a abobrinha em lâminas bem finas.
Corte os tomates-cereja ao meio.
Fatie a cebola.
Misture os vegetais.
Tempere com limão e azeite.
Acrescente orégano, manjericão, sal e pimenta.
Deixe descansar por aproximadamente 5 minutos.
Sirva.</t>
  </si>
  <si>
    <t>Abobrinha → pepino.
Manjericão → salsinha.
Tomate-cereja → tomate italiano.</t>
  </si>
  <si>
    <t>Prato finalizado de Salada de Abobrinha Crua com Limão e Ervas, servido em louça clara e fotografado de cima em luz natural.</t>
  </si>
  <si>
    <t>NL-106</t>
  </si>
  <si>
    <t>Salada de Beterraba com Laranja e Hortelã</t>
  </si>
  <si>
    <t>Vegetariana • Fonte de fibras • Refrescante</t>
  </si>
  <si>
    <t>10 minutos, utilizando a beterraba já cozida</t>
  </si>
  <si>
    <t>Beterraba cozida em cubos (150 g)
Laranja em gomos (100 g)
Cebola roxa (20 g)
Folhas de hortelã a gosto
1 colher (chá) de azeite (5 ml)
Suco de limão a gosto
Sal a gosto
Pimenta-do-reino a gosto</t>
  </si>
  <si>
    <t>Corte a beterraba cozida em cubos.
Separe a laranja em gomos.
Fatie a cebola finamente.
Misture a beterraba com a laranja.
Acrescente a cebola.
Tempere com azeite e limão.
Ajuste sal e pimenta.
Finalize com folhas de hortelã.</t>
  </si>
  <si>
    <t>Laranja → tangerina.
Hortelã → salsinha.
Cebola roxa → cebola branca.</t>
  </si>
  <si>
    <t>Prato finalizado de Salada de Beterraba com Laranja e Hortelã, servido em louça clara e fotografado de cima em luz natural.</t>
  </si>
  <si>
    <t>NL-107</t>
  </si>
  <si>
    <t>Salada de Cenoura com Uva-Passa e Molho de Laranja</t>
  </si>
  <si>
    <t>Vegetariana • Fonte de fibras • Agridoce</t>
  </si>
  <si>
    <t>Cenoura ralada (150 g)
Uva-passa (20 g)
Maçã picada (30 g)
Suco de laranja (20 ml)
1 colher (chá) de azeite (5 ml)
Suco de limão a gosto
Sal a gosto</t>
  </si>
  <si>
    <t>Rale a cenoura.
Corte a maçã em pequenos cubos.
Misture cenoura, maçã e uva-passa.
Acrescente o suco de laranja.
Junte o azeite e algumas gotas de limão.
Tempere com uma pequena quantidade de sal.
Misture bem.
Leve à geladeira por alguns minutos antes de servir, se desejar.</t>
  </si>
  <si>
    <t>Uva-passa → pode ser retirada sem prejuízo da receita.
Maçã → pera.
Laranja → tangerina.</t>
  </si>
  <si>
    <t>Prato finalizado de Salada de Cenoura com Uva-Passa e Molho de Laranja, servido em louça clara e fotografado de cima em luz natural.</t>
  </si>
  <si>
    <t>NL-108</t>
  </si>
  <si>
    <t>Salada de Chuchu com Tomate e Vinagrete</t>
  </si>
  <si>
    <t>Vegetariana • Leve • Sem glúten</t>
  </si>
  <si>
    <t>Chuchu cozido em cubos (180 g)
Tomate picado (80 g)
Cebola picada (30 g)
Pimentão picado (20 g)
1 colher (chá) de azeite (5 ml)
Vinagre ou limão a gosto
Cheiro-verde a gosto
Sal a gosto
Pimenta-do-reino a gosto</t>
  </si>
  <si>
    <t>Corte o chuchu em cubos.
Cozinhe até ficar macio, mas ainda firme.
Escorra e espere esfriar completamente.
Acrescente tomate, cebola e pimentão.
Tempere com azeite e vinagre ou limão.
Ajuste sal e pimenta.
Finalize com cheiro-verde.
Sirva fria ou em temperatura ambiente.</t>
  </si>
  <si>
    <t>Chuchu → abobrinha cozida al dente.
Pimentão → pepino.
Vinagre → limão.</t>
  </si>
  <si>
    <t>Prato finalizado de Salada de Chuchu com Tomate e Vinagrete, servido em louça clara e fotografado de cima em luz natural.</t>
  </si>
  <si>
    <t>NL-109</t>
  </si>
  <si>
    <t>Salada de Folhas com Pera e Molho de Mostarda</t>
  </si>
  <si>
    <t>Vegetariana • Refrescante • Agridoce</t>
  </si>
  <si>
    <t>Salada
Alface (50 g)
Rúcula (30 g)
Pera fatiada (100 g)
Tomate-cereja (60 g)
Cebola roxa (20 g)
Molho
Mostarda (10 g)
Mel (5 g)
1 colher (chá) de azeite (5 ml)
Suco de limão a gosto
Sal a gosto
Pimenta-do-reino a gosto</t>
  </si>
  <si>
    <t>Higienize e seque as folhas.
Fatie a pera.
Corte os tomates-cereja.
Fatie finamente a cebola.
Misture todos os ingredientes da salada.
Em outro recipiente, misture mostarda, mel, azeite e limão.
Ajuste sal e pimenta.
Tempere a salada somente na hora de servir.</t>
  </si>
  <si>
    <t>Pera → maçã.
Rúcula → agrião.
Mel → melado.</t>
  </si>
  <si>
    <t>Prato finalizado de Salada de Folhas com Pera e Molho de Mostarda, servido em louça clara e fotografado de cima em luz natural.</t>
  </si>
  <si>
    <t>NL-110</t>
  </si>
  <si>
    <t>Salada Colorida de Legumes Assados</t>
  </si>
  <si>
    <t>Vegetariana • Rica em fibras • Sem glúten</t>
  </si>
  <si>
    <t>Abobrinha em cubos (80 g)
Berinjela em cubos (80 g)
Pimentão em cubos (60 g)
Tomate-cereja (70 g)
Cebola em pedaços (50 g)
2 colheres (chá) de azeite de oliva extravirgem (10 ml)
Alho a gosto
Orégano a gosto
Sal a gosto
Pimenta-do-reino a gosto
Cheiro-verde ou manjericão a gosto</t>
  </si>
  <si>
    <t>Corte todos os vegetais em tamanhos semelhantes.
Coloque em uma tigela.
Acrescente o azeite.
Tempere com alho, orégano, sal e pimenta.
Misture bem para envolver todos os vegetais.
Distribua na cesta da Air Fryer ou em uma assadeira.
Asse a 200°C por aproximadamente 20 minutos.
Mexa na metade do tempo para dourar por igual.
Retire quando estiverem macios e levemente dourados.
Espere amornar.
Finalize com cheiro-verde ou manjericão.
Sirva morna ou fria.</t>
  </si>
  <si>
    <t>Abobrinha → chuchu.
Berinjela → abóbora.
Pimentão → cenoura.
Manjericão → cheiro-verde.</t>
  </si>
  <si>
    <t>Prato finalizado de Salada Colorida de Legumes Assados, servido em louça clara e fotografado de cima em luz natural.</t>
  </si>
  <si>
    <t>NL-111</t>
  </si>
  <si>
    <t>Flan de Coco com Banana</t>
  </si>
  <si>
    <t>Café da manhã • Lanche • Sobremesa</t>
  </si>
  <si>
    <t>Vegetariana • Sem açúcar adicionado • Prática • Sem glúten* Desde que todos os ingredientes utilizados sejam certificados sem glúten.</t>
  </si>
  <si>
    <t>2 ovos (aproximadamente 100 g)
1 banana média madura (aproximadamente 100 g)
240 g de iogurte natural
50 g de coco ralado sem açúcar
1 colher (sopa) de eritritol ou outro adoçante culinário, opcional
Para finalizar, opcional
Coco ralado a gosto
Morangos frescos a gosto</t>
  </si>
  <si>
    <t>Coloque no liquidificador ou mixer os ovos, a banana, o iogurte, o coco ralado e o eritritol.
Bata até obter uma mistura lisa e homogênea.
Unte levemente uma forma ou refratário pequeno próprio para micro-ondas.
Despeje a mistura no recipiente.
Leve ao micro-ondas, em potência máxima, por aproximadamente 5 minutos.
Verifique o ponto: o centro deve estar firme, mas ainda úmido e macio.
Retire e deixe esfriar completamente.
Para uma textura mais firme, leve à geladeira por pelo menos 1 hora.
Finalize com coco ralado e morangos frescos, se desejar.</t>
  </si>
  <si>
    <t>Iogurte natural → iogurte natural zero lactose.
Eritritol → outro adoçante culinário de preferência.
Morango → manga, kiwi ou outra fruta fresca de preferência.</t>
  </si>
  <si>
    <t>Prato finalizado de Flan de Coco com Banana, servido em louça clara e fotografado de cima em luz natural.</t>
  </si>
  <si>
    <t>NL-112</t>
  </si>
  <si>
    <t>Pudim da Nutri</t>
  </si>
  <si>
    <t>Sobremesa • Lanche</t>
  </si>
  <si>
    <t>Sem açúcar adicionado* • Rica em proteínas • Prática • Airfryer • Sem glúten** Quando preparado sem mel. Desde que os ingredientes utilizados sejam certificados sem glúten.</t>
  </si>
  <si>
    <t>1 ovo (aproximadamente 50 g)
1 copo de leite desnatado (200 ml)
2 colheres (sopa) de leite em pó desnatado (20 g)
Algumas gotas de essência de baunilha
Adoçante culinário a gosto
Para a calda, opcional
1 colher (chá) de mel (7 g)
ou
1 colher (sopa) de doce de leite sem açúcar (20 g)</t>
  </si>
  <si>
    <t>Coloque no liquidificador o ovo, o leite desnatado, o leite em pó, a essência de baunilha e o adoçante.
Bata somente até obter uma mistura homogênea.
Se utilizar a calda, espalhe o mel ou o doce de leite sem açúcar no fundo de uma forma pequena ou refratário adequado para airfryer.
Despeje cuidadosamente a mistura do pudim.
Leve à airfryer preaquecida a 170 °C por aproximadamente 30 minutos.
Verifique o ponto: as laterais devem estar firmes e o centro ainda levemente macio.
Retire e deixe esfriar em temperatura ambiente.
Leve à geladeira por aproximadamente 1 hora para ficar mais firme e gelado.
Desenforme somente depois de frio.</t>
  </si>
  <si>
    <t>Leite desnatado → leite desnatado zero lactose.
Leite em pó desnatado → leite em pó desnatado zero lactose.
Mel → doce de leite sem açúcar, considerando a diferença nutricional.
Essência de baunilha → canela ou raspas de limão para variar o sabor.</t>
  </si>
  <si>
    <t>Prato finalizado de Pudim da Nutri, servido em louça clara e fotografado de cima em luz natural.</t>
  </si>
  <si>
    <t>NL-113</t>
  </si>
  <si>
    <t>Sorvete Cremoso de Mamão com Leite em Pó</t>
  </si>
  <si>
    <t>Lanche • Sobremesa</t>
  </si>
  <si>
    <t>Rica em proteínas • Sem açúcar adicionado • Sem glúten* • Prática Desde que o leite em pó utilizado seja certificado sem glúten quando necessário.</t>
  </si>
  <si>
    <t>200 g de mamão previamente congelado em cubos
100 g de leite em pó desnatado</t>
  </si>
  <si>
    <t>Corte previamente o mamão em cubos e leve ao congelador até ficar completamente congelado.
Coloque os 200 g de mamão congelado no processador ou liquidificador potente.
Acrescente o leite em pó desnatado.
Bata até começar a formar um creme.
Se necessário, desligue o aparelho, raspe as laterais e misture com uma colher ou espátula.
Bata novamente até obter uma textura lisa, espessa e cremosa, semelhante à de sorvete.
Sirva imediatamente para uma textura mais cremosa.
Se preferir um sorvete mais firme, leve ao congelador por aproximadamente 30 minutos antes de servir.</t>
  </si>
  <si>
    <t>Para melhor textura, consumir imediatamente após o preparo.</t>
  </si>
  <si>
    <t>Os 200 g de mamão congelado podem ser substituídos pela mesma quantidade de:
Morango congelado.
Uva congelada.
Abacaxi congelado.
A quantidade de leite em pó pode ser adicionada gradualmente durante o processamento para facilitar a obtenção da textura desejada.</t>
  </si>
  <si>
    <t>Prato finalizado de Sorvete Cremoso de Mamão com Leite em Pó, servido em louça clara e fotografado de cima em luz natural.</t>
  </si>
  <si>
    <t>NL-114</t>
  </si>
  <si>
    <t>Chá de Hibisco com Maçã</t>
  </si>
  <si>
    <t>Lanche • Acompanhamento • Bebida</t>
  </si>
  <si>
    <t>Sem açúcar adicionado • Sem cafeína • Diurético</t>
  </si>
  <si>
    <t>5 g de hibisco seco, aproximadamente 1 colher (sopa) rasa
3 fatias finas de maçã
250 ml de água</t>
  </si>
  <si>
    <t>Aqueça a água até iniciar a fervura.
Desligue o fogo.
Acrescente o hibisco e as fatias de maçã.
Tampe e deixe em infusão por 5 a 7 minutos.
Coe.
Consuma morno ou leve à geladeira e sirva com gelo.</t>
  </si>
  <si>
    <t>Conservar em recipiente fechado na geladeira por até 24 horas.</t>
  </si>
  <si>
    <t>Maçã → morango ou abacaxi.
Pode acrescentar canela em pau para variar o sabor.</t>
  </si>
  <si>
    <t>Prato finalizado de Chá de Hibisco com Maçã, servido em louça clara e fotografado de cima em luz natural.</t>
  </si>
  <si>
    <t>NL-115</t>
  </si>
  <si>
    <t>Chá de Cavalinha com Hortelã</t>
  </si>
  <si>
    <t>2 g de cavalinha seca, aproximadamente 2 colheres (chá)
3 a 4 folhas de hortelã
250 ml de água</t>
  </si>
  <si>
    <t>Coloque a cavalinha e a hortelã em uma xícara.
Acrescente a água fervente.
Tampe e deixe em infusão por aproximadamente 10 minutos.
Coe.
Consuma morno ou gelado.</t>
  </si>
  <si>
    <t>Conservar na geladeira por até 24 horas.</t>
  </si>
  <si>
    <t>Hortelã → algumas gotas de limão após o preparo.
Pode ser consumido gelado com gelo.</t>
  </si>
  <si>
    <t>Prato finalizado de Chá de Cavalinha com Hortelã, servido em louça clara e fotografado de cima em luz natural.</t>
  </si>
  <si>
    <t>NL-116</t>
  </si>
  <si>
    <t>Chá Gelado de Hibisco com Abacaxi</t>
  </si>
  <si>
    <t>Sem açúcar adicionado • Refrescante • Diurético</t>
  </si>
  <si>
    <t>5 g de hibisco seco
50 g de abacaxi em cubos
300 ml de água
Gelo a gosto</t>
  </si>
  <si>
    <t>Aqueça a água até iniciar a fervura.
Desligue o fogo.
Acrescente o hibisco.
Tampe e deixe em infusão por aproximadamente 5 minutos.
Coe e espere esfriar.
Acrescente o abacaxi.
Finalize com gelo e sirva.</t>
  </si>
  <si>
    <t>Abacaxi → morango.
Pode acrescentar folhas de hortelã.</t>
  </si>
  <si>
    <t>Prato finalizado de Chá Gelado de Hibisco com Abacaxi, servido em louça clara e fotografado de cima em luz natural.</t>
  </si>
  <si>
    <t>NL-117</t>
  </si>
  <si>
    <t>Chá de Dente-de-Leão com Hortelã</t>
  </si>
  <si>
    <t>3 g de dente-de-leão seco
3 folhas de hortelã
150 ml de água</t>
  </si>
  <si>
    <t>Coloque o dente-de-leão e a hortelã em uma xícara.
Acrescente a água fervente.
Tampe.
Deixe em infusão por aproximadamente 10 minutos.
Coe.
Sirva morno.</t>
  </si>
  <si>
    <t>Hortelã → casca de limão bem higienizada para aromatizar.</t>
  </si>
  <si>
    <t>Prato finalizado de Chá de Dente-de-Leão com Hortelã, servido em louça clara e fotografado de cima em luz natural.</t>
  </si>
  <si>
    <t>NL-118</t>
  </si>
  <si>
    <t>Chá Gelado de Hibisco com Morango</t>
  </si>
  <si>
    <t>5 g de hibisco seco
3 morangos fatiados, aproximadamente 45 g
300 ml de água
Gelo a gosto</t>
  </si>
  <si>
    <t>Aqueça a água até iniciar a fervura.
Desligue o fogo e acrescente o hibisco.
Tampe e deixe em infusão por aproximadamente 5 minutos.
Coe e espere esfriar.
Acrescente os morangos fatiados.
Finalize com gelo.
Sirva bem gelado.</t>
  </si>
  <si>
    <t>Morango → abacaxi ou maçã.
Pode acrescentar folhas de hortelã.</t>
  </si>
  <si>
    <t>Prato finalizado de Chá Gelado de Hibisco com Morango, servido em louça clara e fotografado de cima em luz natural.</t>
  </si>
  <si>
    <t>NL-119</t>
  </si>
  <si>
    <t>Chá de Camomila com Maçã e Canela</t>
  </si>
  <si>
    <t>Ceia • Bebida noturna</t>
  </si>
  <si>
    <t>Sem cafeína • Sem açúcar adicionado • Relaxante</t>
  </si>
  <si>
    <t>3 g de flores secas de camomila, aproximadamente 1 colher (sopa)
3 fatias finas de maçã
1 pequeno pedaço de canela em pau
150 ml de água</t>
  </si>
  <si>
    <t>Aqueça a água até iniciar a fervura.
Desligue o fogo.
Acrescente a camomila, a maçã e a canela.
Tampe e deixe em infusão por aproximadamente 5 minutos.
Coe.
Consuma morno.</t>
  </si>
  <si>
    <t>Preferencialmente consumir logo após o preparo.</t>
  </si>
  <si>
    <t>Maçã → pera.
Canela → pequena tira de casca de laranja bem higienizada.</t>
  </si>
  <si>
    <t>Prato finalizado de Chá de Camomila com Maçã e Canela, servido em louça clara e fotografado de cima em luz natural.</t>
  </si>
  <si>
    <t>NL-120</t>
  </si>
  <si>
    <t>Chá de Erva-Cidreira</t>
  </si>
  <si>
    <t>2 g de folhas secas de erva-cidreira (Melissa officinalis)
150 ml de água</t>
  </si>
  <si>
    <t>Aqueça a água.
Desligue o fogo ao iniciar a fervura.
Acrescente a erva-cidreira.
Tampe por 5 a 10 minutos.
Coe.
Sirva morno.</t>
  </si>
  <si>
    <t>Preferencialmente consumir após o preparo. Se necessário, manter refrigerado por até 24 horas.</t>
  </si>
  <si>
    <t>Pode acrescentar uma pequena tira de casca de laranja.
Pode combinar com pequena quantidade de camomila.</t>
  </si>
  <si>
    <t>Prato finalizado de Chá de Erva-Cidreira, servido em louça clara e fotografado de cima em luz natural.</t>
  </si>
  <si>
    <t>NL-121</t>
  </si>
  <si>
    <t>Chá de Capim-Cidreira com Camomila</t>
  </si>
  <si>
    <t>1 g de capim-cidreira seco
1 g de camomila seca
150 ml de água</t>
  </si>
  <si>
    <t>Aqueça a água até iniciar a fervura.
Desligue o fogo.
Acrescente as ervas.
Tampe por aproximadamente 5 minutos.
Coe cuidadosamente.
Consuma morno.</t>
  </si>
  <si>
    <t>Pode utilizar somente uma das ervas.
Uma pequena tira de casca de laranja pode ser acrescentada para aromatizar.</t>
  </si>
  <si>
    <t>Prato finalizado de Chá de Capim-Cidreira com Camomila, servido em louça clara e fotografado de cima em luz natural.</t>
  </si>
  <si>
    <t>NL-122</t>
  </si>
  <si>
    <t>Chá de Camomila com Casca de Laranja</t>
  </si>
  <si>
    <t>Sem cafeína • Sem açúcar adicionado • Relaxante • Aromático</t>
  </si>
  <si>
    <t>3 g de camomila seca
1 pequena tira de casca de laranja bem higienizada
150 ml de água</t>
  </si>
  <si>
    <t>Aqueça a água.
Desligue ao iniciar a fervura.
Acrescente a camomila e a casca de laranja.
Tampe por aproximadamente 5 minutos.
Coe.
Sirva morno.</t>
  </si>
  <si>
    <t>Preferencialmente consumir no momento do preparo.</t>
  </si>
  <si>
    <t>Casca de laranja → maçã.
Pode acrescentar um pequeno pedaço de canela em pau.</t>
  </si>
  <si>
    <t>Prato finalizado de Chá de Camomila com Casca de Laranja, servido em louça clara e fotografado de cima em luz natural.</t>
  </si>
  <si>
    <t>NL-123</t>
  </si>
  <si>
    <t>Chá de Erva-Cidreira com Maracujá</t>
  </si>
  <si>
    <t>2 g de erva-cidreira seca (Melissa officinalis)
1 colher (sopa) de polpa de maracujá, aproximadamente 15 g
150 ml de água</t>
  </si>
  <si>
    <t>Coloque a erva-cidreira em uma xícara.
Acrescente a água quente.
Tampe por aproximadamente 5 minutos.
Coe.
Acrescente a polpa do maracujá.
Misture delicadamente.
Sirva morno.</t>
  </si>
  <si>
    <t>Consumir preferencialmente após o preparo.</t>
  </si>
  <si>
    <t>Maracujá → pequena tira de casca de laranja.
Pode preparar apenas com a erva-cidreira.</t>
  </si>
  <si>
    <t>Prato finalizado de Chá de Erva-Cidreira com Maracujá, servido em louça clara e fotografado de cima em luz natural.</t>
  </si>
  <si>
    <t>NL-124</t>
  </si>
  <si>
    <t>Chá de Hortelã</t>
  </si>
  <si>
    <t>Após as refeições • Lanche • Bebida</t>
  </si>
  <si>
    <t>Sem açúcar adicionado • Sem cafeína • Digestivo</t>
  </si>
  <si>
    <t>1,5 g de hortelã-pimenta seca
150 ml de água</t>
  </si>
  <si>
    <t>Coloque a hortelã em uma xícara.
Acrescente a água fervente.
Tampe por aproximadamente 5 minutos.
Coe.
Consuma morno.</t>
  </si>
  <si>
    <t>Pode utilizar folhas frescas de hortelã em quantidade adequada.
Algumas gotas de limão podem ser adicionadas depois do preparo.</t>
  </si>
  <si>
    <t>Prato finalizado de Chá de Hortelã, servido em louça clara e fotografado de cima em luz natural.</t>
  </si>
  <si>
    <t>NL-125</t>
  </si>
  <si>
    <t>Chá de Gengibre com Laranja</t>
  </si>
  <si>
    <t>Sem açúcar adicionado • Digestivo • Aromático</t>
  </si>
  <si>
    <t>2 g de gengibre fresco, aproximadamente 2 fatias finas
2 pequenas tiras de casca de laranja bem higienizada
250 ml de água</t>
  </si>
  <si>
    <t>Coloque o gengibre na água.
Leve ao fogo e deixe ferver por aproximadamente 3 minutos.
Desligue o fogo.
Acrescente a casca de laranja.
Tampe por mais 3 minutos.
Coe.
Sirva morno.</t>
  </si>
  <si>
    <t>Casca de laranja → casca de limão bem higienizada.
Pode reduzir a quantidade de gengibre para um sabor mais suave.</t>
  </si>
  <si>
    <t>Prato finalizado de Chá de Gengibre com Laranja, servido em louça clara e fotografado de cima em luz natural.</t>
  </si>
  <si>
    <t>NL-126</t>
  </si>
  <si>
    <t>Chá de Erva-Doce com Canela</t>
  </si>
  <si>
    <t>Após as refeições • Bebida</t>
  </si>
  <si>
    <t>1,5 g de erva-doce
1 pequeno pedaço de canela em pau
150 ml de água</t>
  </si>
  <si>
    <t>Amasse levemente a erva-doce.
Coloque-a em uma xícara com a canela.
Acrescente água quente.
Tampe por 5 a 10 minutos.
Coe.
Sirva morno.</t>
  </si>
  <si>
    <t>Canela → pequena tira de casca de laranja.
Pode preparar somente com a erva-doce.</t>
  </si>
  <si>
    <t>Prato finalizado de Chá de Erva-Doce com Canela, servido em louça clara e fotografado de cima em luz natural.</t>
  </si>
  <si>
    <t>NL-127</t>
  </si>
  <si>
    <t>Chá de Camomila com Erva-Doce</t>
  </si>
  <si>
    <t>Após as refeições • Ceia • Bebida</t>
  </si>
  <si>
    <t>Sem cafeína • Sem açúcar adicionado • Digestivo</t>
  </si>
  <si>
    <t>1,5 g de camomila seca
1 g de erva-doce
150 ml de água</t>
  </si>
  <si>
    <t>Amasse levemente a erva-doce.
Coloque a camomila e a erva-doce em uma xícara.
Acrescente a água quente.
Tampe por aproximadamente 5 minutos.
Coe.
Sirva morno.</t>
  </si>
  <si>
    <t>Pode utilizar somente camomila ou somente erva-doce.
Pode acrescentar pequena quantidade de casca de laranja para aromatizar.</t>
  </si>
  <si>
    <t>Prato finalizado de Chá de Camomila com Erva-Doce, servido em louça clara e fotografado de cima em luz natural.</t>
  </si>
  <si>
    <t>NL-128</t>
  </si>
  <si>
    <t>Chá de Boldo com Hortelã</t>
  </si>
  <si>
    <t>1 g de boldo-nacional seco, aproximadamente 1 colher (chá)
3 folhas de hortelã
150 ml de água</t>
  </si>
  <si>
    <t>Coloque o boldo e a hortelã em uma xícara.
Acrescente a água fervente.
Tampe por 3 a 5 minutos.
Coe.
Consuma morno.</t>
  </si>
  <si>
    <t>Para uma preparação mais suave, utilizar apenas hortelã.
A quantidade de boldo não deve ser aumentada para tentar intensificar o efeito.</t>
  </si>
  <si>
    <t>Prato finalizado de Chá de Boldo com Hortelã, servido em louça clara e fotografado de cima em luz natural.</t>
  </si>
  <si>
    <t>NL-129</t>
  </si>
  <si>
    <t>Mingau Cremoso de Banana com Canela</t>
  </si>
  <si>
    <t>Café da manhã • Ceia</t>
  </si>
  <si>
    <t>Vegetariana • Fonte de fibras • Sem açúcar adicionado</t>
  </si>
  <si>
    <t>200 ml de leite desnatado
25 g de aveia em flocos finos
1 banana pequena madura (80 g)
Canela a gosto
1 colher de chá de essência de baunilha, opcional</t>
  </si>
  <si>
    <t>Amasse metade da banana.
Coloque o leite, a aveia e a banana amassada em uma panela.
Cozinhe em fogo baixo, mexendo sempre, até engrossar.
Acrescente a essência de baunilha e a canela.
Finalize com o restante da banana em rodelas.</t>
  </si>
  <si>
    <t>Prato finalizado de Mingau Cremoso de Banana com Canela, servido em louça clara e fotografado de cima em luz natural.</t>
  </si>
  <si>
    <t>NL-130</t>
  </si>
  <si>
    <t>Mingau de Chocolate com Morangos</t>
  </si>
  <si>
    <t>Vegetariana • Sabor chocolate • Fonte de fibras</t>
  </si>
  <si>
    <t>200 ml de leite
25 g de aveia em flocos finos
5 g de cacau em pó 100%
10 g de leite em pó desnatado
70 g de morangos picados
Adoçante a gosto, opcional</t>
  </si>
  <si>
    <t>Coloque o leite, a aveia, o cacau e o leite em pó em uma panela.
Cozinhe em fogo baixo, mexendo sempre.
Quando atingir uma consistência cremosa, desligue o fogo.
Acrescente adoçante, se desejar.
Finalize com os morangos picados.</t>
  </si>
  <si>
    <t>Prato finalizado de Mingau de Chocolate com Morangos, servido em louça clara e fotografado de cima em luz natural.</t>
  </si>
  <si>
    <t>NL-131</t>
  </si>
  <si>
    <t>Mingau de Maçã Cremosa com Canela</t>
  </si>
  <si>
    <t>200 ml de leite
25 g de aveia em flocos finos
100 g de maçã em cubinhos
Canela a gosto
1 colher de chá de mel (5 g), opcional</t>
  </si>
  <si>
    <t>Coloque metade da maçã em uma panela com 1 colher de sopa de água e canela.
Cozinhe por aproximadamente 2 minutos, até começar a amolecer.
Acrescente o leite e a aveia.
Cozinhe em fogo baixo, mexendo sempre, até ficar cremoso.
Finalize com o restante da maçã e, se desejar, um fio de mel.</t>
  </si>
  <si>
    <t>Prato finalizado de Mingau de Maçã Cremosa com Canela, servido em louça clara e fotografado de cima em luz natural.</t>
  </si>
  <si>
    <t>NL-132</t>
  </si>
  <si>
    <t>Mingau Cremoso de Coco com Manga</t>
  </si>
  <si>
    <t>Vegetariana • Cremosa • Sabor tropical</t>
  </si>
  <si>
    <t>180 ml de leite
20 ml de leite de coco
25 g de aveia em flocos finos
80 g de manga em cubos
5 g de coco ralado sem açúcar</t>
  </si>
  <si>
    <t>Coloque o leite, o leite de coco e a aveia em uma panela.
Cozinhe em fogo baixo, mexendo sempre, até engrossar.
Desligue o fogo.
Acrescente metade da manga e misture delicadamente.
Finalize com o restante da manga e o coco ralado.</t>
  </si>
  <si>
    <t>Prato finalizado de Mingau Cremoso de Coco com Manga, servido em louça clara e fotografado de cima em luz natural.</t>
  </si>
  <si>
    <t>NL-133</t>
  </si>
  <si>
    <t>Mingau de Café com Leite e Canela</t>
  </si>
  <si>
    <t>Vegetariana • Prática • Fonte de fibras</t>
  </si>
  <si>
    <t>180 ml de leite
30 ml de café coado forte
25 g de aveia em flocos finos
10 g de leite em pó desnatado
Canela a gosto
Adoçante a gosto, opcional</t>
  </si>
  <si>
    <t>Coloque o leite, o café, a aveia e o leite em pó em uma panela.
Cozinhe em fogo baixo, mexendo sempre.
Quando atingir uma textura cremosa, desligue o fogo.
Finalize com canela.
Adoce somente se necessário.</t>
  </si>
  <si>
    <t>Prato finalizado de Mingau de Café com Leite e Canela, servido em louça clara e fotografado de cima em luz natural.</t>
  </si>
  <si>
    <t>NL-134</t>
  </si>
  <si>
    <t>Creme de Batata com Alho-Poró e Frango</t>
  </si>
  <si>
    <t>Rica em proteínas • Cremosa • Comfort food</t>
  </si>
  <si>
    <t>Batata inglesa em cubos (180 g)
Frango cozido e desfiado (100 g)
Alho-poró fatiado (40 g)
Cebola picada (30 g)
1 dente de alho
1 colher (chá) de azeite de oliva (5 ml)
Água ou caldo caseiro de legumes (400 ml)
Creme de leite leve ou zero lactose (30 g)
Sal a gosto
Pimenta-do-reino a gosto
Cheiro-verde a gosto</t>
  </si>
  <si>
    <t>Aqueça o azeite em uma panela.
Refogue a cebola, o alho e o alho-poró até ficarem levemente macios.
Acrescente a batata em cubos.
Adicione a água ou o caldo caseiro.
Cozinhe em fogo médio até a batata ficar bem macia.
Bata a preparação com um mixer ou transfira cuidadosamente para o liquidificador.
Bata até obter um creme homogêneo.
Retorne o creme à panela.
Acrescente o creme de leite e misture.
Adicione o frango desfiado.
Ajuste o sal e a pimenta-do-reino.
Cozinhe por mais aproximadamente 3 minutos.
Finalize com cheiro-verde e sirva quente.</t>
  </si>
  <si>
    <t>Prato finalizado de Creme de Batata com Alho-Poró e Frango, servido em louça clara e fotografado de cima em luz natural.</t>
  </si>
  <si>
    <t>NL-135</t>
  </si>
  <si>
    <t>Sopa de Feijão com Carne e Legumes</t>
  </si>
  <si>
    <t>10 minutos, utilizando o feijão previamente cozido</t>
  </si>
  <si>
    <t>Feijão carioca cozido com caldo (150 g)
Patinho em cubinhos (100 g)
Cenoura em cubos ou rodelas (70 g)
Chuchu em cubos (70 g)
Tomate picado (50 g)
Cebola picada (30 g)
1 dente de alho
1 colher (chá) de azeite de oliva (5 ml)
Água (300 ml)
Folha de louro a gosto
Sal a gosto
Cheiro-verde a gosto</t>
  </si>
  <si>
    <t>Aqueça o azeite em uma panela.
Refogue a cebola e o alho.
Acrescente o patinho e deixe dourar.
Adicione o tomate e misture.
Acrescente a cenoura e o chuchu.
Junte o feijão com o caldo.
Adicione a água e o louro.
Tampe parcialmente e cozinhe até os legumes ficarem macios.
Amasse uma pequena quantidade dos grãos de feijão contra a lateral da panela para deixar o caldo mais encorpado.
Ajuste o sal.
Finalize com cheiro-verde e sirva quente.</t>
  </si>
  <si>
    <t>Prato finalizado de Sopa de Feijão com Carne e Legumes, servido em louça clara e fotografado de cima em luz natural.</t>
  </si>
  <si>
    <t>NL-136</t>
  </si>
  <si>
    <t>Creme de Cenoura com Frango e Requeijão</t>
  </si>
  <si>
    <t>Rica em proteínas • Cremosa • Sem glúten* Desde que todos os ingredientes industrializados utilizados sejam certificados sem glúten quando necessário.</t>
  </si>
  <si>
    <t>Cenoura em rodelas (200 g)
Frango cozido e desfiado (100 g)
Batata inglesa em cubos (50 g)
Cebola picada (30 g)
1 dente de alho
Requeijão (30 g)
1 colher (chá) de azeite de oliva (5 ml)
Água (400 ml)
Sal a gosto
Páprica a gosto
Cheiro-verde a gosto</t>
  </si>
  <si>
    <t>Aqueça o azeite em uma panela.
Refogue a cebola e o alho.
Acrescente a cenoura e a batata.
Adicione a água.
Cozinhe até os legumes ficarem bem macios.
Bata com mixer ou liquidificador até obter um creme liso.
Retorne à panela.
Acrescente o frango desfiado.
Adicione o requeijão e misture até incorporar.
Tempere com sal e páprica.
Aqueça por mais alguns minutos.
Finalize com cheiro-verde.</t>
  </si>
  <si>
    <t>Prato finalizado de Creme de Cenoura com Frango e Requeijão, servido em louça clara e fotografado de cima em luz natural.</t>
  </si>
  <si>
    <t>NL-137</t>
  </si>
  <si>
    <t>Sopa Cremosa de Milho com Frango</t>
  </si>
  <si>
    <t>Rica em proteínas • Comfort food • Sem glúten*</t>
  </si>
  <si>
    <t>Milho cozido (120 g)
Frango cozido e desfiado (100 g)
Leite (200 ml)
Água ou caldo caseiro (200 ml)
Cebola picada (30 g)
1 dente de alho
1 colher (chá) de azeite (5 ml)
Sal a gosto
Pimenta-do-reino a gosto
Cheiro-verde a gosto</t>
  </si>
  <si>
    <t>Coloque metade do milho no liquidificador.
Acrescente o leite e a água ou caldo caseiro.
Bata até formar um creme homogêneo.
Aqueça o azeite em uma panela.
Refogue a cebola e o alho.
Acrescente o creme de milho batido.
Junte o restante do milho.
Adicione o frango desfiado.
Cozinhe em fogo baixo por aproximadamente 8 minutos, mexendo ocasionalmente.
Ajuste o sal e a pimenta.
Finalize com cheiro-verde.</t>
  </si>
  <si>
    <t>Prato finalizado de Sopa Cremosa de Milho com Frango, servido em louça clara e fotografado de cima em luz natural.</t>
  </si>
  <si>
    <t>NL-138</t>
  </si>
  <si>
    <t>Creme de Couve-Flor com Queijo e Frango</t>
  </si>
  <si>
    <t>Low Carb • Rica em proteínas • Cremosa</t>
  </si>
  <si>
    <t>Couve-flor em floretes (250 g)
Frango cozido e desfiado (100 g)
Queijo minas padrão (40 g)
Cebola picada (30 g)
1 dente de alho
1 colher (chá) de azeite (5 ml)
Água ou caldo caseiro (350 ml)
Sal a gosto
Noz-moscada a gosto
Pimenta-do-reino a gosto</t>
  </si>
  <si>
    <t>Aqueça o azeite em uma panela.
Refogue a cebola e o alho.
Acrescente a couve-flor.
Adicione a água ou caldo.
Cozinhe até a couve-flor ficar bem macia.
Bata com mixer ou liquidificador até formar um creme.
Retorne à panela.
Acrescente o queijo.
Misture em fogo baixo até derreter.
Adicione o frango desfiado.
Tempere com sal, noz-moscada e pimenta-do-reino.
Aqueça por mais alguns minutos e sirva.</t>
  </si>
  <si>
    <t>Prato finalizado de Creme de Couve-Flor com Queijo e Frango, servido em louça clara e fotografado de cima em luz natural.</t>
  </si>
  <si>
    <t>NL-139</t>
  </si>
  <si>
    <t>Sopa de Legumes com Carne Desfiada</t>
  </si>
  <si>
    <t>Rica em proteínas • Fonte de fibras • Refeição completa</t>
  </si>
  <si>
    <t>Carne bovina cozida e desfiada (120 g)
Batata em cubos (100 g)
Cenoura em cubos (80 g)
Chuchu em cubos (80 g)
Abobrinha em cubos (60 g)
Tomate picado (50 g)
Cebola picada (30 g)
1 dente de alho
Água (500 ml)
1 colher (chá) de azeite (5 ml)
Sal a gosto
Cheiro-verde a gosto</t>
  </si>
  <si>
    <t>Aqueça o azeite em uma panela.
Refogue a cebola e o alho.
Acrescente o tomate e misture.
Adicione a batata, a cenoura e o chuchu.
Cubra com a água.
Cozinhe até os legumes começarem a ficar macios.
Acrescente a abobrinha.
Junte a carne desfiada.
Cozinhe por mais aproximadamente 5 minutos.
Ajuste o sal.
Finalize com cheiro-verde.</t>
  </si>
  <si>
    <t>Prato finalizado de Sopa de Legumes com Carne Desfiada, servido em louça clara e fotografado de cima em luz natural.</t>
  </si>
  <si>
    <t>NL-140</t>
  </si>
  <si>
    <t>Creme de Mandioquinha com Carne Moída</t>
  </si>
  <si>
    <t>Rica em proteínas • Comfort food • Sem glúten</t>
  </si>
  <si>
    <t>Mandioquinha descascada em cubos (200 g)
Patinho moído (120 g)
Cebola picada (30 g)
1 dente de alho
Tomate picado (50 g)
1 colher (chá) de azeite (5 ml)
Água (400 ml)
Sal a gosto
Pimenta-do-reino a gosto
Cheiro-verde a gosto</t>
  </si>
  <si>
    <t>Coloque a mandioquinha em uma panela com a água.
Cozinhe até ficar bem macia.
Bata a mandioquinha com parte da água do cozimento até formar um creme.
Reserve.
Em outra panela, aqueça o azeite.
Refogue a cebola e o alho.
Acrescente o patinho moído.
Cozinhe até ficar dourado e soltinho.
Junte o tomate e tempere com sal e pimenta.
Acrescente o creme de mandioquinha.
Misture e cozinhe por mais aproximadamente 3 minutos.
Finalize com cheiro-verde.</t>
  </si>
  <si>
    <t>Prato finalizado de Creme de Mandioquinha com Carne Moída, servido em louça clara e fotografado de cima em luz natural.</t>
  </si>
  <si>
    <t>NL-141</t>
  </si>
  <si>
    <t>Sopa Cremosa de Ervilha com Frango</t>
  </si>
  <si>
    <t>Rica em proteínas • Rica em fibras • Cremosa</t>
  </si>
  <si>
    <t>Ervilha seca (120 g)
Frango cozido e desfiado (100 g)
Cebola picada (30 g)
1 dente de alho
1 colher (chá) de azeite (5 ml)
Água (500 ml)
Folha de louro a gosto
Sal a gosto
Pimenta-do-reino a gosto
Cheiro-verde a gosto</t>
  </si>
  <si>
    <t>Aqueça o azeite em uma panela.
Refogue a cebola e o alho.
Acrescente a ervilha seca.
Adicione a água e o louro.
Cozinhe até a ervilha ficar bem macia e começar a se desmanchar.
Retire a folha de louro.
Bata rapidamente parte da sopa com mixer, mantendo alguma textura.
Acrescente o frango desfiado.
Tempere com sal e pimenta.
Aqueça por mais alguns minutos.
Finalize com cheiro-verde.</t>
  </si>
  <si>
    <t>Prato finalizado de Sopa Cremosa de Ervilha com Frango, servido em louça clara e fotografado de cima em luz natural.</t>
  </si>
  <si>
    <t>NL-142</t>
  </si>
  <si>
    <t>Creme de Tomate Assado com Ricota</t>
  </si>
  <si>
    <t>Vegetariana • Cremosa • Fonte de proteínas</t>
  </si>
  <si>
    <t>Tomate maduro (300 g)
Ricota fresca (70 g)
Cebola (50 g)
1 dente de alho
1 colher (chá) de azeite (5 ml)
Água ou caldo caseiro (200 ml)
Manjericão a gosto
Sal a gosto
Pimenta-do-reino a gosto</t>
  </si>
  <si>
    <t>Preaqueça o forno a 200°C.
Corte os tomates e a cebola em pedaços.
Disponha em uma assadeira.
Acrescente o alho.
Regue com o azeite.
Tempere com sal e pimenta-do-reino.
Asse por aproximadamente 20 minutos.
Transfira os vegetais assados para o liquidificador.
Acrescente a água ou caldo.
Bata até formar um creme homogêneo.
Retorne à panela.
Acrescente a ricota amassada ou bata a ricota junto ao creme para uma textura mais lisa.
Aqueça por alguns minutos.
Finalize com manjericão.</t>
  </si>
  <si>
    <t>Prato finalizado de Creme de Tomate Assado com Ricota, servido em louça clara e fotografado de cima em luz natural.</t>
  </si>
  <si>
    <t>NL-143</t>
  </si>
  <si>
    <t>Sopa Cremosa de Frango com Legumes e Macarrão</t>
  </si>
  <si>
    <t>Rica em proteínas • Refeição completa • Comfort food</t>
  </si>
  <si>
    <t>Frango em cubinhos ou cozido e desfiado (100 g)
Macarrão cru (40 g)
Cenoura em cubos (70 g)
Chuchu em cubos (70 g)
Abobrinha em cubos (50 g)
Tomate picado (50 g)
Cebola picada (30 g)
1 dente de alho
Água ou caldo caseiro (500 ml)
1 colher (chá) de azeite (5 ml)
Sal a gosto
Cheiro-verde a gosto</t>
  </si>
  <si>
    <t>Aqueça o azeite em uma panela.
Refogue a cebola e o alho.
Acrescente o frango e deixe dourar levemente.
Junte o tomate.
Acrescente a cenoura e o chuchu.
Adicione a água ou caldo caseiro.
Cozinhe por aproximadamente 10 minutos.
Acrescente a abobrinha e o macarrão.
Cozinhe até o macarrão ficar macio e os legumes completamente cozidos.
Amasse alguns pedaços de legumes contra a lateral da panela para deixar o caldo levemente cremoso.
Ajuste o sal.
Finalize com cheiro-verde e sirva quente.</t>
  </si>
  <si>
    <t>Prato finalizado de Sopa Cremosa de Frango com Legumes e Macarrão, servido em louça clara e fotografado de cima em luz natural.</t>
  </si>
  <si>
    <t>NL-144</t>
  </si>
  <si>
    <t>Frango Dourado com Limão, Alho e Ervas</t>
  </si>
  <si>
    <t>Rica em proteínas • Sem glúten • Prática</t>
  </si>
  <si>
    <t>Filé de peito de frango (150 g)
1 dente de alho amassado
Suco de ½ limão
1 colher (chá) de azeite de oliva (5 ml)
Sal a gosto
Pimenta-do-reino a gosto
Orégano a gosto
Salsinha a gosto</t>
  </si>
  <si>
    <t>Tempere o filé de frango com alho, limão, sal, pimenta-do-reino e orégano.
Se possível, deixe descansar por aproximadamente 5 minutos para absorver melhor os temperos.
Aqueça bem uma frigideira.
Acrescente o azeite.
Coloque o filé e deixe dourar sem mexer por aproximadamente 4 minutos.
Vire cuidadosamente.
Cozinhe o outro lado até ficar dourado por fora e completamente cozido por dentro.
Retire do fogo.
Finalize com salsinha picada e sirva.</t>
  </si>
  <si>
    <t>Prato finalizado de Frango Dourado com Limão, Alho e Ervas, servido em louça clara e fotografado de cima em luz natural.</t>
  </si>
  <si>
    <t>NL-145</t>
  </si>
  <si>
    <t>Carne Acebolada de Frigideira</t>
  </si>
  <si>
    <t>Rica em proteínas • Sem glúten* • Prática Para versão estritamente sem glúten, conferir a composição do molho inglês utilizado.</t>
  </si>
  <si>
    <t>Alcatra ou patinho em bifes (150 g)
Cebola em rodelas (70 g)
1 colher (chá) de azeite (5 ml)
1 dente de alho
Sal a gosto
Pimenta-do-reino a gosto
1 colher (chá) de molho inglês, opcional</t>
  </si>
  <si>
    <t>Tempere a carne com alho, sal e pimenta-do-reino.
Aqueça bem uma frigideira.
Acrescente o azeite.
Coloque os bifes e deixe dourar dos dois lados.
Retire a carne e reserve.
Na mesma frigideira, acrescente a cebola.
Refogue até ficar macia e levemente dourada.
Acrescente o molho inglês, se desejar.
Retorne a carne à frigideira.
Misture rapidamente apenas para incorporar os sabores.
Sirva imediatamente.</t>
  </si>
  <si>
    <t>Prato finalizado de Carne Acebolada de Frigideira, servido em louça clara e fotografado de cima em luz natural.</t>
  </si>
  <si>
    <t>NL-146</t>
  </si>
  <si>
    <t>Frango Suculento com Páprica e Cebola</t>
  </si>
  <si>
    <t>Peito de frango em cubos (160 g)
Cebola fatiada (50 g)
1 colher (chá) de azeite (5 ml)
1 dente de alho
1 colher (chá) de páprica doce ou defumada
Sal a gosto
Pimenta-do-reino a gosto
Cheiro-verde a gosto</t>
  </si>
  <si>
    <t>Tempere os cubos de frango com alho, páprica, sal e pimenta-do-reino.
Aqueça bem uma frigideira.
Acrescente o azeite.
Distribua o frango sem amontoar.
Deixe dourar antes de começar a mexer.
Quando estiver quase completamente cozido, acrescente a cebola.
Refogue até a cebola ficar macia e o frango bem dourado.
Ajuste os temperos.
Finalize com cheiro-verde.</t>
  </si>
  <si>
    <t>Prato finalizado de Frango Suculento com Páprica e Cebola, servido em louça clara e fotografado de cima em luz natural.</t>
  </si>
  <si>
    <t>NL-147</t>
  </si>
  <si>
    <t>Filé de Peixe ao Alho e Limão na Frigideira</t>
  </si>
  <si>
    <t>Filé de pescada, linguado ou tilápia (180 g)
1 dente de alho
Suco de ½ limão
1 colher (chá) de azeite (5 ml)
Sal a gosto
Pimenta-do-reino a gosto
Salsinha a gosto</t>
  </si>
  <si>
    <t>Tempere o peixe com sal, pimenta-do-reino e limão.
Aqueça uma frigideira antiaderente.
Acrescente o azeite.
Junte o alho e deixe perfumar rapidamente, sem queimar.
Coloque o filé de peixe.
Doure por aproximadamente 3 a 4 minutos de um lado.
Vire cuidadosamente.
Cozinhe o outro lado até o peixe ficar completamente cozido.
Evite mexer excessivamente para não desmanchar o filé.
Finalize com salsinha.</t>
  </si>
  <si>
    <t>Prato finalizado de Filé de Peixe ao Alho e Limão na Frigideira, servido em louça clara e fotografado de cima em luz natural.</t>
  </si>
  <si>
    <t>NL-148</t>
  </si>
  <si>
    <t>Lombo Suíno Dourado com Laranja e Alecrim</t>
  </si>
  <si>
    <t>Rica em proteínas • Sem glúten</t>
  </si>
  <si>
    <t>Lombo suíno em bifes (160 g)
Suco natural de laranja (40 ml)
1 dente de alho
1 colher (chá) de azeite (5 ml)
Alecrim a gosto
Sal a gosto
Pimenta-do-reino a gosto</t>
  </si>
  <si>
    <t>Tempere o lombo com alho, sal, pimenta-do-reino e alecrim.
Aqueça o azeite em uma frigideira.
Coloque os bifes de lombo.
Doure bem dos dois lados.
Acrescente o suco de laranja.
Abaixe o fogo.
Cozinhe por mais alguns minutos, virando a carne para envolver no molho.
Deixe o líquido reduzir levemente.
Retire quando o lombo estiver completamente cozido e ainda suculento.
Sirva imediatamente.</t>
  </si>
  <si>
    <t>Prato finalizado de Lombo Suíno Dourado com Laranja e Alecrim, servido em louça clara e fotografado de cima em luz natural.</t>
  </si>
  <si>
    <t>NL-149</t>
  </si>
  <si>
    <t>Carne de Panela Desfiada com Molho Caseiro</t>
  </si>
  <si>
    <t>Rica em proteínas • Sem glúten • Ideal para congelamento</t>
  </si>
  <si>
    <t>Acém ou músculo em pedaços grandes (500 g)
Tomate picado (150 g)
Cebola picada (100 g)
2 dentes de alho
1 colher (sopa) de azeite (10 ml)
Água (300 ml)
1 folha de louro
Sal a gosto
Páprica a gosto
Pimenta-do-reino a gosto
Cheiro-verde a gosto</t>
  </si>
  <si>
    <t>Corte a carne em pedaços grandes.
Aqueça o azeite na panela de pressão.
Acrescente a carne e deixe dourar bem.
Junte a cebola e o alho.
Refogue por alguns minutos.
Acrescente o tomate.
Tempere com sal, páprica, pimenta e louro.
Adicione a água.
Tampe a panela.
Após pegar pressão, cozinhe por aproximadamente 30 minutos.
Desligue o fogo e aguarde a pressão sair completamente antes de abrir.
Retire a carne e desfie.
Retorne a carne desfiada ao molho.
Cozinhe sem tampa por alguns minutos, até o molho ficar mais encorpado e a carne bem suculenta.
Finalize com cheiro-verde.</t>
  </si>
  <si>
    <t>Prato finalizado de Carne de Panela Desfiada com Molho Caseiro, servido em louça clara e fotografado de cima em luz natural.</t>
  </si>
  <si>
    <t>NL-150</t>
  </si>
  <si>
    <t>Camarão Cremoso com Tomate e Requeijão</t>
  </si>
  <si>
    <t>Rica em proteínas • Sem glúten* • Prática Desde que o requeijão e os demais ingredientes industrializados sejam certificados sem glúten quando necessário.</t>
  </si>
  <si>
    <t>Camarão limpo (180 g)
Tomate picado (80 g)
Requeijão (30 g)
Cebola picada (20 g)
1 dente de alho
1 colher (chá) de azeite (5 ml)
Sal a gosto
Pimenta-do-reino a gosto
Páprica a gosto
Cheiro-verde a gosto</t>
  </si>
  <si>
    <t>Tempere o camarão com sal e pimenta-do-reino.
Aqueça o azeite em uma frigideira.
Acrescente o alho e a cebola.
Refogue rapidamente.
Adicione o camarão.
Cozinhe por aproximadamente 2 minutos.
Acrescente o tomate.
Misture e cozinhe rapidamente.
Adicione o requeijão.
Mexa até formar um molho cremoso.
Cozinhe apenas até o camarão ficar rosado e macio.
Finalize com páprica e cheiro-verde.</t>
  </si>
  <si>
    <t>Prato finalizado de Camarão Cremoso com Tomate e Requeijão, servido em louça clara e fotografado de cima em luz natural.</t>
  </si>
  <si>
    <t>NL-151</t>
  </si>
  <si>
    <t>Iscas de Carne com Pimentão e Cebola</t>
  </si>
  <si>
    <t>Patinho ou alcatra em tiras (150 g)
Pimentão vermelho em tiras (50 g)
Cebola fatiada (50 g)
1 colher (chá) de azeite (5 ml)
1 dente de alho
Sal a gosto
Pimenta-do-reino a gosto
Cheiro-verde a gosto</t>
  </si>
  <si>
    <t>Aqueça bem uma frigideira.
Acrescente o azeite.
Coloque as tiras de carne.
Deixe dourar rapidamente em fogo alto para manter a carne macia.
Acrescente o alho.
Junte a cebola e o pimentão.
Refogue por mais aproximadamente 3 a 4 minutos.
Tempere com sal e pimenta-do-reino.
Finalize com cheiro-verde.
Sirva imediatamente.</t>
  </si>
  <si>
    <t>Prato finalizado de Iscas de Carne com Pimentão e Cebola, servido em louça clara e fotografado de cima em luz natural.</t>
  </si>
  <si>
    <t>NL-152</t>
  </si>
  <si>
    <t>Sobrecoxa Desossada Assada com Mostarda e Ervas</t>
  </si>
  <si>
    <t>Rica em proteínas • Sem glúten* • Forno ou Air Fryer Desde que a mostarda utilizada seja certificada sem glúten quando necessário.</t>
  </si>
  <si>
    <t>Sobrecoxa de frango desossada e sem pele (180 g)
Mostarda (10 g)
1 dente de alho
1 colher (chá) de azeite (5 ml)
Suco de limão a gosto
Sal a gosto
Páprica a gosto
Orégano a gosto
Pimenta-do-reino a gosto</t>
  </si>
  <si>
    <t>Em uma tigela, misture a mostarda, o alho, o azeite, o limão, a páprica, o orégano, o sal e a pimenta.
Espalhe o tempero sobre toda a sobrecoxa.
Coloque em uma assadeira ou na cesta da Air Fryer.
Asse a 190°C por aproximadamente 20 a 25 minutos.
Vire na metade do tempo para dourar dos dois lados.
Verifique se a carne está completamente cozida.
Retire quando estiver bem dourada e suculenta.
Sirva imediatamente.</t>
  </si>
  <si>
    <t>Prato finalizado de Sobrecoxa Desossada Assada com Mostarda e Ervas, servido em louça clara e fotografado de cima em luz natural.</t>
  </si>
  <si>
    <t>NL-153</t>
  </si>
  <si>
    <t>Salmão Assado com Mel e Mostarda</t>
  </si>
  <si>
    <t>Rica em proteínas • Sem glúten* • Fonte de gorduras insaturadas Desde que a mostarda utilizada seja certificada sem glúten quando necessário.</t>
  </si>
  <si>
    <t>Filé de salmão (150 g)
Mostarda (10 g)
Mel (5 g)
1 colher (chá) de azeite (5 ml)
Suco de limão a gosto
Sal a gosto
Pimenta-do-reino a gosto</t>
  </si>
  <si>
    <t>Em um recipiente pequeno, misture a mostarda, o mel, o azeite e algumas gotas de limão.
Tempere o salmão com sal e pimenta-do-reino.
Espalhe o molho sobre a superfície do peixe.
Coloque em uma assadeira ou na Air Fryer.
Asse a 190°C por aproximadamente 12 a 15 minutos.
Verifique o ponto do salmão e evite cozinhar excessivamente.
Retire quando estiver cozido e ainda suculento.
Sirva imediatamente.</t>
  </si>
  <si>
    <t>Prato finalizado de Salmão Assado com Mel e Mostarda, servido em louça clara e fotografado de cima em luz natural.</t>
  </si>
  <si>
    <t>Banco de Receitas Nutri Lu — Lotes consolidados</t>
  </si>
  <si>
    <t>Indicador</t>
  </si>
  <si>
    <t>Resultado</t>
  </si>
  <si>
    <t>Distribuição por refeição</t>
  </si>
  <si>
    <t>Qtd.</t>
  </si>
  <si>
    <t>Receitas coletadas</t>
  </si>
  <si>
    <t>Prontas para importar</t>
  </si>
  <si>
    <t>Almoço</t>
  </si>
  <si>
    <t>Precisam de revisão</t>
  </si>
  <si>
    <t>Lanche</t>
  </si>
  <si>
    <t>Com macros completos</t>
  </si>
  <si>
    <t>Jantar</t>
  </si>
  <si>
    <t>Pré-treino</t>
  </si>
  <si>
    <t>Pós-treino</t>
  </si>
  <si>
    <t>Nota de uso: os macronutrientes foram transcritos das fichas enviadas. Antes da publicação no app, uma nutricionista responsável deve validar os valores, porções, alegações de restrição e ingredientes sem quantidade exata. Esta planilha não substitui avaliação nutricional individual.</t>
  </si>
  <si>
    <t>#</t>
  </si>
  <si>
    <t>Campo</t>
  </si>
  <si>
    <t>Tipo</t>
  </si>
  <si>
    <t>Texto</t>
  </si>
  <si>
    <t>Status de importação</t>
  </si>
  <si>
    <t>Fórmula</t>
  </si>
  <si>
    <t>Data de origem</t>
  </si>
  <si>
    <t>Data</t>
  </si>
  <si>
    <t>Horário</t>
  </si>
  <si>
    <t>Texto multivalorado</t>
  </si>
  <si>
    <t>Tempo de cocção</t>
  </si>
  <si>
    <t>Lista</t>
  </si>
  <si>
    <t>Texto longo</t>
  </si>
  <si>
    <t>Peso total (g)</t>
  </si>
  <si>
    <t>Número</t>
  </si>
  <si>
    <t>Peso da porção (g)</t>
  </si>
  <si>
    <t>Alergênicos</t>
  </si>
  <si>
    <t>Congelamento</t>
  </si>
  <si>
    <t>Fonte</t>
  </si>
  <si>
    <t>Observações de QA</t>
  </si>
  <si>
    <t>Status</t>
  </si>
  <si>
    <t>Refeições padronizadas</t>
  </si>
  <si>
    <t>Categorias/restrições sugeridas</t>
  </si>
  <si>
    <t>PRONTO</t>
  </si>
  <si>
    <t>Sem glúten</t>
  </si>
  <si>
    <t>REVISAR</t>
  </si>
  <si>
    <t>Sem lactose</t>
  </si>
  <si>
    <t>INCOMPLETO</t>
  </si>
  <si>
    <t>Low Carb</t>
  </si>
  <si>
    <t>Vegetariano</t>
  </si>
  <si>
    <t>Vegano</t>
  </si>
  <si>
    <t>Rico em proteínas</t>
  </si>
  <si>
    <t>Ceia</t>
  </si>
  <si>
    <t>Rico em fibras</t>
  </si>
  <si>
    <t>Sem açúcar refinado</t>
  </si>
  <si>
    <t>Cetogênica</t>
  </si>
  <si>
    <t>Refeição completa</t>
  </si>
  <si>
    <t>Pode ser congelado</t>
  </si>
  <si>
    <t>NL-154</t>
  </si>
  <si>
    <t>Pão Francês com Creme de Ricota e Frango</t>
  </si>
  <si>
    <t>½ pão francês (25 g)
Frango cozido e desfiado (60 g)
Creme de ricota (30 g)
Tomate picado (20 g)
Cheiro-verde a gosto</t>
  </si>
  <si>
    <t>Coloque o frango desfiado em uma tigela.
Acrescente o creme de ricota.
Adicione o cheiro-verde e misture até formar um recheio cremoso.
Acrescente o tomate picado e misture delicadamente.
Abra a metade do pão francês.
Distribua todo o recheio.
Consuma em temperatura ambiente ou aqueça rapidamente na sanduicheira, se desejar.</t>
  </si>
  <si>
    <t>Consumir preferencialmente após o preparo. Prazo e condições de armazenamento não foram informados na conversa e devem ser validados antes da publicação.</t>
  </si>
  <si>
    <t>Creme de ricota por cottage ou requeijão light. Pão francês por pão integral em quantidade equivalente.</t>
  </si>
  <si>
    <t>Pão Francês com Creme de Ricota e Frango servido em tigela clara, textura cremosa e acabamento com ervas ou ingrediente principal aparente.</t>
  </si>
  <si>
    <t>NL-155</t>
  </si>
  <si>
    <t>Iogurte Proteico com Morango e Aveia Crocante</t>
  </si>
  <si>
    <t>Rico em proteínas • Rico em fibras</t>
  </si>
  <si>
    <t>Iogurte natural proteico (160 g)
Morangos picados (80 g)
Aveia em flocos (15 g)
Chia (5 g)
Canela a gosto</t>
  </si>
  <si>
    <t>Coloque o iogurte em uma tigela ou taça.
Higienize e pique os morangos.
Distribua os morangos sobre o iogurte.
Acrescente a aveia.
Finalize com a chia e a canela.
Sirva imediatamente.</t>
  </si>
  <si>
    <t>Iogurte zero lactose. Morango por mamão, kiwi ou outra fruta em porção equivalente.</t>
  </si>
  <si>
    <t>Iogurte Proteico com Morango e Aveia Crocante servido em prato claro, porção individual bem montada, com os ingredientes principais visíveis e aparência caseira natural.</t>
  </si>
  <si>
    <t>NL-156</t>
  </si>
  <si>
    <t>Torrada com Cottage, Ovo e Tomate</t>
  </si>
  <si>
    <t>Rico em proteínas • Vegetariano</t>
  </si>
  <si>
    <t>1 fatia de pão integral (30 g)
1 ovo inteiro (aproximadamente 50 g)
Cottage (40 g)
Tomate picado ou em rodelas (30 g)
Orégano a gosto</t>
  </si>
  <si>
    <t>Torre a fatia de pão até ficar levemente crocante.
Prepare o ovo mexido em frigideira antiaderente ou cozinhe-o, conforme preferência.
Espalhe o cottage sobre a torrada.
Acrescente o ovo.
Distribua o tomate.
Finalize com orégano.
Sirva imediatamente.</t>
  </si>
  <si>
    <t>Cottage por creme de ricota ou ricota temperada. Para versão sem lactose, utilizar produtos adequados.</t>
  </si>
  <si>
    <t>Torrada com Cottage, Ovo e Tomate montado em prato claro, recheio visível e ingredientes distribuídos de forma fiel à receita.</t>
  </si>
  <si>
    <t>NL-157</t>
  </si>
  <si>
    <t>Creme Gelado de Banana com Iogurte e Leite em Pó</t>
  </si>
  <si>
    <t>Banana previamente congelada (70 g)
Iogurte natural (120 g)
Leite em pó desnatado (20 g)
Canela a gosto</t>
  </si>
  <si>
    <t>Corte previamente a banana em pedaços e congele.
Coloque a banana congelada no processador ou liquidificador.
Acrescente o iogurte natural.
Adicione o leite em pó.
Bata até obter um creme homogêneo e espesso.
Finalize com canela.
Sirva imediatamente.</t>
  </si>
  <si>
    <t>Iogurte zero lactose. Banana por morango congelado.</t>
  </si>
  <si>
    <t>Creme Gelado de Banana com Iogurte e Leite em Pó servido em tigela clara, textura cremosa e acabamento com ervas ou ingrediente principal aparente.</t>
  </si>
  <si>
    <t>NL-158</t>
  </si>
  <si>
    <t>Cuscuz Pequeno com Ricota Cremosa e Ovo</t>
  </si>
  <si>
    <t>Rico em proteínas • Vegetariano • Sem glúten</t>
  </si>
  <si>
    <t>Flocão de milho (30 g)
Água para hidratar
1 ovo inteiro (aproximadamente 50 g)
Ricota (40 g)
Requeijão (15 g)
Sal a gosto
Cheiro-verde a gosto</t>
  </si>
  <si>
    <t>Hidrate o flocão com uma pequena quantidade de água e uma pitada de sal.
Deixe descansar por aproximadamente 5 minutos.
Cozinhe na cuscuzeira até ficar macio.
Amasse a ricota com um garfo.
Acrescente o requeijão e o cheiro-verde.
Misture até formar um creme.
Prepare o ovo mexido em uma frigideira antiaderente.
Sirva o cuscuz acompanhado do creme de ricota e do ovo.</t>
  </si>
  <si>
    <t>Ricota por cottage. Requeijão por creme de ricota. Para versão sem lactose, utilizar equivalentes adequados.</t>
  </si>
  <si>
    <t>Cuscuz Pequeno com Ricota Cremosa e Ovo servido em prato claro, porção individual bem montada, com os ingredientes principais visíveis e aparência caseira natural.</t>
  </si>
  <si>
    <t>NL-159</t>
  </si>
  <si>
    <t>Vitamina Cremosa de Morango com Whey</t>
  </si>
  <si>
    <t>Leite desnatado (150 ml)
Morangos (100 g)
Whey protein (20 g)
Gelo a gosto</t>
  </si>
  <si>
    <t>Higienize os morangos.
Coloque o leite no liquidificador.
Acrescente os morangos e o whey protein.
Adicione gelo a gosto.
Bata até obter uma bebida lisa e cremosa.
Sirva imediatamente.</t>
  </si>
  <si>
    <t>Leite zero lactose. Morango por outra fruta em quantidade equivalente.</t>
  </si>
  <si>
    <t>Vitamina Cremosa de Morango com Whey servido em copo alto transparente, bebida fresca e homogênea, com guarnição discreta dos ingredientes principais.</t>
  </si>
  <si>
    <t>NL-160</t>
  </si>
  <si>
    <t>Pãozinho de Queijo e Ovo na Sanduicheira</t>
  </si>
  <si>
    <t>1 fatia de pão integral (30 g)
1 ovo inteiro (aproximadamente 50 g)
Queijo minas (25 g)
Tomate picado (20 g)
Orégano a gosto</t>
  </si>
  <si>
    <t>Bata o ovo rapidamente com um garfo.
Coloque a fatia de pão em uma sanduicheira.
Distribua o ovo sobre o pão cuidadosamente.
Acrescente o queijo minas.
Adicione o tomate.
Finalize com orégano.
Feche a sanduicheira.
Cozinhe até o ovo ficar completamente firme, o pão dourar e o queijo derreter.
Sirva ainda quente.</t>
  </si>
  <si>
    <t>Queijo minas por muçarela, cottage ou queijo sem lactose. Pão integral por pão tradicional ou versão sem glúten.</t>
  </si>
  <si>
    <t>Pãozinho de Queijo e Ovo na Sanduicheira montado em prato claro, recheio visível e ingredientes distribuídos de forma fiel à receita.</t>
  </si>
  <si>
    <t>NL-161</t>
  </si>
  <si>
    <t>Taça de Mamão com Creme Proteico de Iogurte</t>
  </si>
  <si>
    <t>Rico em fibras • Vegetariano</t>
  </si>
  <si>
    <t>Mamão em cubos (120 g)
Iogurte natural (120 g)
Leite em pó desnatado (15 g)
Chia (5 g)</t>
  </si>
  <si>
    <t>Coloque o iogurte em uma tigela.
Acrescente o leite em pó.
Misture até formar um creme homogêneo.
Corte o mamão em cubos.
Distribua o mamão em uma taça.
Cubra com o creme de iogurte.
Finalize com a chia.
Sirva imediatamente ou mantenha refrigerado até o consumo.</t>
  </si>
  <si>
    <t>Iogurte zero lactose. Mamão por manga, morango ou outra fruta em quantidade equivalente.</t>
  </si>
  <si>
    <t>Taça de Mamão com Creme Proteico de Iogurte servido em tigela clara, textura cremosa e acabamento com ervas ou ingrediente principal aparente.</t>
  </si>
  <si>
    <t>NL-162</t>
  </si>
  <si>
    <t>Wrap Pequeno de Ovo com Creme de Ricota</t>
  </si>
  <si>
    <t>½ unidade de wrap ou Rap10 (20 g)
1 ovo inteiro (aproximadamente 50 g)
Creme de ricota (40 g)
Tomate picado (30 g)
Folhas de alface a gosto</t>
  </si>
  <si>
    <t>Prepare o ovo mexido em uma frigideira antiaderente.
Aqueça o wrap rapidamente para deixá-lo mais maleável.
Espalhe o creme de ricota.
Acrescente o ovo mexido.
Distribua o tomate.
Finalize com as folhas de alface.
Enrole cuidadosamente.
Sirva imediatamente.</t>
  </si>
  <si>
    <t>Creme de ricota por cottage ou requeijão light. Para versão sem glúten, utilizar wrap certificado adequado.</t>
  </si>
  <si>
    <t>Wrap Pequeno de Ovo com Creme de Ricota servido em tigela clara, textura cremosa e acabamento com ervas ou ingrediente principal aparente.</t>
  </si>
  <si>
    <t>NL-163</t>
  </si>
  <si>
    <t>Mingau Proteico Cremoso de Baunilha</t>
  </si>
  <si>
    <t>Leite desnatado (180 ml)
Aveia em flocos finos (20 g)
Whey protein sabor baunilha (15 g)
Leite em pó desnatado (5 g)
Canela a gosto</t>
  </si>
  <si>
    <t>Coloque o leite e a aveia em uma panela pequena.
Leve ao fogo baixo.
Mexa continuamente até a aveia cozinhar e o mingau engrossar.
Desligue o fogo.
Aguarde alguns segundos para reduzir levemente a temperatura.
Acrescente o whey protein e o leite em pó.
Misture vigorosamente até obter um creme homogêneo.
Finalize com canela.
Sirva ainda morno.</t>
  </si>
  <si>
    <t>Não informadas na conversa.</t>
  </si>
  <si>
    <t>Mingau Proteico Cremoso de Baunilha servido em tigela clara, textura cremosa e acabamento com ervas ou ingrediente principal aparente.</t>
  </si>
  <si>
    <t>NL-164</t>
  </si>
  <si>
    <t>Strogonoff Leve de Frango com Arroz</t>
  </si>
  <si>
    <t>Rico em proteínas • Sem glúten</t>
  </si>
  <si>
    <t>Peito de frango em cubos (120 g)
Arroz branco cozido (70 g)
Creme de leite leve ou zero lactose (40 g)
Molho de tomate (50 g)
Cebola picada (20 g)
Mostarda (5 g)
Azeite (5 ml)
Sal e páprica a gosto</t>
  </si>
  <si>
    <t>Aqueça o azeite e refogue a cebola.
Acrescente o frango e deixe dourar.
Adicione o molho de tomate e a mostarda.
Cozinhe por aproximadamente 3 minutos.
Desligue o fogo e misture o creme de leite.
Sirva com o arroz.</t>
  </si>
  <si>
    <t>Pode utilizar creme de leite zero lactose.</t>
  </si>
  <si>
    <t>Strogonoff Leve de Frango com Arroz servido em prato claro, porção individual bem montada, com os ingredientes principais visíveis e aparência caseira natural.</t>
  </si>
  <si>
    <t>NL-165</t>
  </si>
  <si>
    <t>Macarrão à Bolonhesa de Patinho</t>
  </si>
  <si>
    <t>Macarrão cru (50 g)
Patinho moído (100 g)
Molho de tomate (100 g)
Cenoura ralada (30 g)
Cebola (20 g)
1 dente de alho
Azeite (5 ml)
Sal, orégano e manjericão a gosto</t>
  </si>
  <si>
    <t>Cozinhe o macarrão até ficar al dente.
Refogue a cebola e o alho no azeite.
Acrescente o patinho e deixe dourar.
Junte a cenoura e o molho de tomate.
Tempere e cozinhe por aproximadamente 5 minutos.
Sirva o molho sobre o macarrão.</t>
  </si>
  <si>
    <t>Macarrão à Bolonhesa de Patinho em porção individual sobre prato claro, corte ou interior visível e superfície levemente dourada.</t>
  </si>
  <si>
    <t>NL-166</t>
  </si>
  <si>
    <t>Peixe Assado com Batata e Tomate</t>
  </si>
  <si>
    <t>Filé de tilápia, pescada ou linguado (150 g)
Batata inglesa em rodelas finas (100 g)
Tomate em rodelas (80 g)
Cebola (30 g)
Azeite (5 ml)
Limão, alho, sal e orégano a gosto</t>
  </si>
  <si>
    <t>Tempere o peixe com limão, alho e sal.
Cozinhe previamente as rodelas de batata por aproximadamente 5 minutos.
Em um refratário, distribua a batata, o tomate e a cebola.
Coloque o peixe por cima.
Regue com azeite e finalize com orégano.
Asse a 200 °C por aproximadamente 15 a 20 minutos.</t>
  </si>
  <si>
    <t>Peixe Assado com Batata e Tomate servido em prato claro, porção individual bem montada, com os ingredientes principais visíveis e aparência caseira natural.</t>
  </si>
  <si>
    <t>NL-167</t>
  </si>
  <si>
    <t>Panqueca de Carne com Molho de Tomate</t>
  </si>
  <si>
    <t>Massa
1 ovo
Farinha de aveia (25 g)
Leite (60 ml)
1 pitada de sal
Recheio
Patinho moído (90 g)
Cebola (20 g)
Tomate picado (30 g)
Cheiro-verde a gosto
Cobertura
Molho de tomate (60 g)</t>
  </si>
  <si>
    <t>Bata o ovo, a farinha, o leite e o sal.
Despeje em uma frigideira antiaderente e doure dos dois lados.
Refogue separadamente a carne com a cebola e o tomate.
Recheie a panqueca e enrole.
Cubra com o molho de tomate.
Aqueça por alguns minutos antes de servir.</t>
  </si>
  <si>
    <t>1 porção – 2 panquecas pequenas</t>
  </si>
  <si>
    <t>Pode utilizar frango desfiado no recheio.</t>
  </si>
  <si>
    <t>Panqueca de Carne com Molho de Tomate servido em pequena molheira clara, textura e cor naturais, acompanhado dos ingredientes que compõem a receita.</t>
  </si>
  <si>
    <t>NL-168</t>
  </si>
  <si>
    <t>Frango Xadrez Caseiro com Arroz</t>
  </si>
  <si>
    <t>Rico em proteínas • Sem lactose</t>
  </si>
  <si>
    <t>Peito de frango em cubos (120 g)
Arroz cozido (70 g)
Pimentão (50 g)
Cenoura (50 g)
Cebola (40 g)
Azeite (5 ml)
Molho shoyu com menor teor de sódio (5 ml)
Cebolinha a gosto</t>
  </si>
  <si>
    <t>Aqueça o azeite em uma frigideira.
Doure o frango.
Acrescente a cebola, a cenoura e o pimentão.
Refogue mantendo os legumes levemente firmes.
Acrescente o shoyu e misture.
Finalize com cebolinha e sirva com o arroz.</t>
  </si>
  <si>
    <t>Frango Xadrez Caseiro com Arroz servido em prato claro, porção individual bem montada, com os ingredientes principais visíveis e aparência caseira natural.</t>
  </si>
  <si>
    <t>NL-169</t>
  </si>
  <si>
    <t>Polenta Cremosa com Frango Desfiado ao Molho</t>
  </si>
  <si>
    <t>Fubá (35 g)
Água (180 ml)
Frango cozido e desfiado (100 g)
Molho de tomate (80 g)
Cebola (20 g)
Parmesão ralado (10 g)
Sal e cheiro-verde a gosto</t>
  </si>
  <si>
    <t>Cozinhe o fubá com a água e uma pitada de sal, mexendo até ficar cremoso.
Refogue a cebola e acrescente o frango.
Junte o molho de tomate e cozinhe por alguns minutos.
Coloque a polenta em um prato fundo.
Distribua o frango por cima.
Finalize com o parmesão e o cheiro-verde.</t>
  </si>
  <si>
    <t>Polenta Cremosa com Frango Desfiado ao Molho servido em pequena molheira clara, textura e cor naturais, acompanhado dos ingredientes que compõem a receita.</t>
  </si>
  <si>
    <t>NL-170</t>
  </si>
  <si>
    <t>Arroz de Uma Panela com Frango e Cenoura</t>
  </si>
  <si>
    <t>Rico em proteínas • Sem glúten • Sem lactose</t>
  </si>
  <si>
    <t>Peito de frango em cubinhos (120 g)
Arroz cru (35 g)
Cenoura ralada (50 g)
Tomate picado (50 g)
Cebola (30 g)
Azeite (5 ml)
Água (aproximadamente 150 ml)
Sal, alho e cheiro-verde a gosto</t>
  </si>
  <si>
    <t>Refogue a cebola e o alho no azeite.
Acrescente o frango e deixe dourar.
Junte o arroz, a cenoura e o tomate.
Acrescente a água e ajuste o sal.
Cozinhe em fogo baixo até o arroz ficar macio.
Finalize com cheiro-verde.</t>
  </si>
  <si>
    <t>Arroz de Uma Panela com Frango e Cenoura servido em prato claro, porção individual bem montada, com os ingredientes principais visíveis e aparência caseira natural.</t>
  </si>
  <si>
    <t>NL-171</t>
  </si>
  <si>
    <t>Filé Mignon Suíno com Purê de Batata</t>
  </si>
  <si>
    <t>Filé mignon suíno em medalhões (130 g)
Batata inglesa cozida (120 g)
Leite (30 ml)
Azeite (5 ml)
Alho, sal e alecrim a gosto</t>
  </si>
  <si>
    <t>Tempere a carne com alho, sal e alecrim.
Grelhe em frigideira com azeite até dourar e cozinhar completamente.
Amasse a batata ainda quente.
Acrescente o leite aos poucos até obter um purê cremoso.
Sirva os medalhões acompanhados do purê.</t>
  </si>
  <si>
    <t>Filé Mignon Suíno com Purê de Batata servido em prato claro, porção individual bem montada, com os ingredientes principais visíveis e aparência caseira natural.</t>
  </si>
  <si>
    <t>NL-172</t>
  </si>
  <si>
    <t>Tilápia Desfiada com Arroz Cremoso de Abobrinha</t>
  </si>
  <si>
    <t>Filé de tilápia (130 g)
Arroz cozido (70 g)
Abobrinha ralada (80 g)
Creme de ricota (30 g)
Cebola (20 g)
Azeite (5 ml)
Sal, alho e cheiro-verde a gosto</t>
  </si>
  <si>
    <t>Grelhe a tilápia e desfie grosseiramente.
Refogue a cebola e a abobrinha no azeite.
Acrescente o arroz cozido.
Misture o creme de ricota até ficar levemente cremoso.
Acrescente o peixe e misture delicadamente.
Finalize com cheiro-verde.</t>
  </si>
  <si>
    <t>Tilápia Desfiada com Arroz Cremoso de Abobrinha servido em prato claro, porção individual bem montada, com os ingredientes principais visíveis e aparência caseira natural.</t>
  </si>
  <si>
    <t>NL-173</t>
  </si>
  <si>
    <t>Batata Recheada com Carne Moída Cremosa</t>
  </si>
  <si>
    <t>Batata inglesa (150 g)
Patinho moído (100 g)
Creme de ricota (30 g)
Tomate picado (40 g)
Cebola (20 g)
Cheiro-verde, sal e páprica a gosto</t>
  </si>
  <si>
    <t>Cozinhe ou asse a batata até ficar macia.
Refogue a carne com a cebola e o tomate.
Abra a batata ao meio e retire delicadamente uma pequena quantidade do miolo.
Misture o miolo com o creme de ricota.
Junte à carne moída.
Recheie a batata e aqueça por mais alguns minutos no forno ou na airfryer.
Finalize com cheiro-verde.</t>
  </si>
  <si>
    <t>Batata Recheada com Carne Moída Cremosa servido em prato claro, porção individual bem montada, com os ingredientes principais visíveis e aparência caseira natural.</t>
  </si>
  <si>
    <t>NL-174</t>
  </si>
  <si>
    <t>Sanduíche Cremoso de Grão-de-Bico</t>
  </si>
  <si>
    <t>Vegano • Rico em fibras</t>
  </si>
  <si>
    <t>2 fatias de pão integral sem ingredientes de origem animal (50 g)
Grão-de-bico cozido (80 g)
Cenoura ralada (20 g)
Tomate picado (30 g)
Azeite (5 ml)
Suco de limão a gosto
Cheiro-verde, sal e pimenta-do-reino a gosto</t>
  </si>
  <si>
    <t>Amasse o grão-de-bico com um garfo.
Acrescente azeite, limão, sal e pimenta.
Misture a cenoura e o cheiro-verde.
Recheie o pão.
Acrescente o tomate e sirva.</t>
  </si>
  <si>
    <t>Pode acrescentar folhas de alface ou rúcula.</t>
  </si>
  <si>
    <t>Sanduíche Cremoso de Grão-de-Bico montado em prato claro, recheio visível e ingredientes distribuídos de forma fiel à receita.</t>
  </si>
  <si>
    <t>NL-175</t>
  </si>
  <si>
    <t>Bolinho de Batata com Milho na Airfryer</t>
  </si>
  <si>
    <t>Batata inglesa cozida e amassada (130 g)
Milho cozido (50 g)
Cenoura ralada (20 g)
Farinha de aveia (15 g)
Azeite (5 ml)
Cheiro-verde, sal, orégano e páprica a gosto</t>
  </si>
  <si>
    <t>Misture a batata amassada com o milho e a cenoura.
Acrescente a farinha de aveia, o azeite e os temperos.
Modele pequenos bolinhos.
Leve à airfryer a 190 °C por aproximadamente 15 minutos.
Vire na metade do tempo para dourar dos dois lados.</t>
  </si>
  <si>
    <t>5 bolinhos</t>
  </si>
  <si>
    <t>Bolinho de Batata com Milho na Airfryer em porção individual sobre prato claro, corte ou interior visível e superfície levemente dourada.</t>
  </si>
  <si>
    <t>NL-176</t>
  </si>
  <si>
    <t>Bolo de Caneca de Chocolate</t>
  </si>
  <si>
    <t>Vegano • Sem lactose • Rico em fibras</t>
  </si>
  <si>
    <t>Farinha de aveia (30 g)
Cacau em pó (15 g)
Bebida vegetal (60 ml)
Banana madura amassada (30 g)
Açúcar demerara ou adoçante culinário (5 g)
Óleo vegetal (5 ml)
½ colher de chá de fermento químico
Chocolate 70% sem leite picado (5 g)</t>
  </si>
  <si>
    <t>Misture a banana, a bebida vegetal e o óleo.
Acrescente a farinha, o cacau e o açúcar.
Misture bem.
Acrescente o fermento.
Finalize com o chocolate picado.
Leve ao micro-ondas por aproximadamente 1 minuto e 30 segundos a 2 minutos.</t>
  </si>
  <si>
    <t>Bolo de Caneca de Chocolate em porção individual sobre prato claro, corte ou interior visível e superfície levemente dourada.</t>
  </si>
  <si>
    <t>NL-177</t>
  </si>
  <si>
    <t>Bruschetta de Tomate com Manjericão</t>
  </si>
  <si>
    <t>2 fatias de pão italiano ou integral sem ingredientes de origem animal (60 g)
Tomate picado (100 g)
Azeite (5 ml)
½ dente de alho
Manjericão e orégano a gosto
Sal e pimenta-do-reino a gosto</t>
  </si>
  <si>
    <t>Torre levemente as fatias de pão.
Esfregue o alho sobre o pão ainda quente.
Misture o tomate, o azeite, o manjericão, o sal e a pimenta.
Distribua sobre as torradas.
Finalize com orégano e sirva.</t>
  </si>
  <si>
    <t>1 porção – 2 unidades</t>
  </si>
  <si>
    <t>Bruschetta de Tomate com Manjericão servido em prato claro, porção individual bem montada, com os ingredientes principais visíveis e aparência caseira natural.</t>
  </si>
  <si>
    <t>NL-178</t>
  </si>
  <si>
    <t>Pastel Assado de Palmito e Tomate</t>
  </si>
  <si>
    <t>2 discos pequenos de massa para pastel sem ingredientes de origem animal (50 g)
Palmito picado (70 g)
Tomate picado (40 g)
Cebola (20 g)
Azeite (5 ml)
Cheiro-verde, sal e pimenta a gosto</t>
  </si>
  <si>
    <t>Refogue a cebola, o tomate e o palmito no azeite.
Tempere e deixe o recheio esfriar levemente.
Distribua sobre os discos de massa.
Feche pressionando as bordas com um garfo.
Leve à airfryer a 180 °C por aproximadamente 12 a 15 minutos.</t>
  </si>
  <si>
    <t>2 pastéis pequenos</t>
  </si>
  <si>
    <t>Verificar no rótulo se a massa não contém leite, ovos ou gordura de origem animal.</t>
  </si>
  <si>
    <t>Pastel Assado de Palmito e Tomate servido em prato claro, porção individual bem montada, com os ingredientes principais visíveis e aparência caseira natural.</t>
  </si>
  <si>
    <t>NL-179</t>
  </si>
  <si>
    <t>Creme Gelado de Manga com Coco</t>
  </si>
  <si>
    <t>Vegano • Sem glúten</t>
  </si>
  <si>
    <t>Manga congelada (120 g)
Bebida de coco ou bebida vegetal (80 ml)
Coco ralado sem açúcar (10 g)
Chia (5 g)</t>
  </si>
  <si>
    <t>Bata a manga congelada com a bebida vegetal.
Continue batendo até formar um creme espesso.
Coloque em uma tigela.
Finalize com coco ralado e chia.</t>
  </si>
  <si>
    <t>Creme Gelado de Manga com Coco servido em tigela clara, textura cremosa e acabamento com ervas ou ingrediente principal aparente.</t>
  </si>
  <si>
    <t>NL-180</t>
  </si>
  <si>
    <t>Pão Francês com Pasta Cremosa de Abacate e Tomate</t>
  </si>
  <si>
    <t>1 pão francês pequeno sem ingredientes de origem animal (50 g)
Abacate (60 g)
Tomate em rodelas (40 g)
Suco de limão a gosto
Sal, pimenta e orégano a gosto</t>
  </si>
  <si>
    <t>Amasse o abacate.
Tempere com algumas gotas de limão, sal e pimenta.
Abra o pão.
Espalhe o creme de abacate.
Acrescente o tomate.
Finalize com orégano.</t>
  </si>
  <si>
    <t>Pão Francês com Pasta Cremosa de Abacate e Tomate montado em prato claro, recheio visível e ingredientes distribuídos de forma fiel à receita.</t>
  </si>
  <si>
    <t>NL-181</t>
  </si>
  <si>
    <t>Bolinho Assado de Banana, Aveia e Coco</t>
  </si>
  <si>
    <t>1 banana pequena madura (80 g)
Aveia em flocos (30 g)
Coco ralado (10 g)
Bebida vegetal (20 ml)
Canela a gosto
½ colher de chá de fermento
Uva-passa (5 g), opcional</t>
  </si>
  <si>
    <t>Amasse a banana.
Misture a aveia, o coco, a bebida vegetal e a canela.
Acrescente o fermento.
Distribua em duas forminhas pequenas.
Leve à airfryer a 170 °C por aproximadamente 12 a 15 minutos.</t>
  </si>
  <si>
    <t>2 bolinhos</t>
  </si>
  <si>
    <t>Bolinho Assado de Banana, Aveia e Coco em porção individual sobre prato claro, corte ou interior visível e superfície levemente dourada.</t>
  </si>
  <si>
    <t>NL-182</t>
  </si>
  <si>
    <t>Milho Quentinho Temperado com Páprica e Ervas</t>
  </si>
  <si>
    <t>Milho cozido (120 g)
Azeite (5 ml)
Tomate picado (30 g)
Cheiro-verde a gosto
Páprica, orégano e sal a gosto</t>
  </si>
  <si>
    <t>Aqueça o milho em uma frigideira.
Acrescente o azeite e o tomate.
Tempere com páprica e orégano.
Refogue por aproximadamente 2 minutos.
Finalize com cheiro-verde.
Sirva ainda quente.</t>
  </si>
  <si>
    <t>Milho Quentinho Temperado com Páprica e Ervas servido em prato claro, porção individual bem montada, com os ingredientes principais visíveis e aparência caseira natural.</t>
  </si>
  <si>
    <t>NL-183</t>
  </si>
  <si>
    <t>Maçã Quente com Canela, Aveia e Pasta de Amendoim</t>
  </si>
  <si>
    <t>1 maçã média (130 g)
Aveia em flocos (15 g)
Pasta de amendoim integral (10 g)
Canela a gosto
Água (15 ml)</t>
  </si>
  <si>
    <t>Corte a maçã em cubinhos.
Coloque em uma frigideira com a água e a canela.
Cozinhe em fogo baixo até começar a amolecer.
Acrescente a aveia e misture.
Transfira para uma tigela.
Finalize com a pasta de amendoim.</t>
  </si>
  <si>
    <t>Maçã Quente com Canela, Aveia e Pasta de Amendoim servido em prato claro, porção individual bem montada, com os ingredientes principais visíveis e aparência caseira natural.</t>
  </si>
  <si>
    <t>NL-184</t>
  </si>
  <si>
    <t>Pão Francês com Patê Cremoso de Atum e Ovo</t>
  </si>
  <si>
    <t>1 pão francês pequeno (50 g)
80 g de atum em água escorrido
1 ovo cozido
30 g de creme de ricota
30 g de tomate picado
Cheiro-verde a gosto
Sal e pimenta-do-reino a gosto</t>
  </si>
  <si>
    <t>Amasse o ovo cozido.
Misture com o atum e o creme de ricota.
Acrescente tomate e cheiro-verde.
Tempere e recheie o pão.
Se desejar, aqueça rapidamente na sanduicheira.</t>
  </si>
  <si>
    <t>O creme de ricota pode ser substituído por cottage.</t>
  </si>
  <si>
    <t>Pão Francês com Patê Cremoso de Atum e Ovo montado em prato claro, recheio visível e ingredientes distribuídos de forma fiel à receita.</t>
  </si>
  <si>
    <t>NL-185</t>
  </si>
  <si>
    <t>Bolo Salgado de Caneca com Frango e Queijo</t>
  </si>
  <si>
    <t>1 ovo
50 g de frango cozido e desfiado
20 g de farinha de aveia
30 g de iogurte natural
25 g de queijo minas ralado
30 g de tomate picado
1/2 colher de chá de fermento químico
Sal, orégano e cheiro-verde a gosto</t>
  </si>
  <si>
    <t>Misture o ovo e o iogurte.
Acrescente a farinha, o frango, o queijo e o tomate.
Tempere.
Adicione o fermento por último.
Coloque em recipiente próprio para micro-ondas.
Cozinhe por aproximadamente 3 minutos.</t>
  </si>
  <si>
    <t>Bolo Salgado de Caneca com Frango e Queijo em porção individual sobre prato claro, corte ou interior visível e superfície levemente dourada.</t>
  </si>
  <si>
    <t>NL-186</t>
  </si>
  <si>
    <t>Cuscuz com Sardinha, Ovo e Tomate</t>
  </si>
  <si>
    <t>35 g de flocão de milho
40 ml de água
60 g de sardinha escorrida
1 ovo
40 g de tomate picado
Cheiro-verde a gosto
Sal e pimenta a gosto</t>
  </si>
  <si>
    <t>Hidrate o flocão por 5 minutos.
Cozinhe o cuscuz.
Prepare o ovo mexido.
Misture a sardinha com tomate e cheiro-verde.
Sirva junto ao cuscuz.</t>
  </si>
  <si>
    <t>Cuscuz com Sardinha, Ovo e Tomate servido em prato claro, porção individual bem montada, com os ingredientes principais visíveis e aparência caseira natural.</t>
  </si>
  <si>
    <t>NL-187</t>
  </si>
  <si>
    <t>Ovos Mexidos Cremosos com Cottage e Pão Integral</t>
  </si>
  <si>
    <t>2 ovos
50 g de cottage
1 fatia de pão integral (35 g)
40 g de tomate-cereja
Cebolinha a gosto
Sal e pimenta a gosto</t>
  </si>
  <si>
    <t>Bata ligeiramente os ovos.
Cozinhe em fogo baixo, mexendo delicadamente.
Quando estiverem quase prontos, acrescente o cottage.
Sirva com o pão tostado e os tomates.</t>
  </si>
  <si>
    <t>Ovos Mexidos Cremosos com Cottage e Pão Integral montado em prato claro, recheio visível e ingredientes distribuídos de forma fiel à receita.</t>
  </si>
  <si>
    <t>NL-188</t>
  </si>
  <si>
    <t>Tapioca com Carne Desfiada e Creme de Ricota</t>
  </si>
  <si>
    <t>30 g de goma de tapioca
80 g de carne bovina cozida e desfiada
30 g de creme de ricota
30 g de tomate picado
Cheiro-verde e pimenta-do-reino a gosto</t>
  </si>
  <si>
    <t>Prepare a tapioca.
Misture a carne com o creme de ricota.
Acrescente tomate e cheiro-verde.
Recheie e dobre.</t>
  </si>
  <si>
    <t>Tapioca com Carne Desfiada e Creme de Ricota servido em tigela clara, textura cremosa e acabamento com ervas ou ingrediente principal aparente.</t>
  </si>
  <si>
    <t>NL-189</t>
  </si>
  <si>
    <t>Muffin Proteico de Atum e Queijo</t>
  </si>
  <si>
    <t>2 ovos
70 g de atum em água escorrido
30 g de queijo minas ralado
40 g de tomate picado
20 g de cenoura ralada
1 colher de sopa de farinha de aveia sem glúten (10 g)
1/2 colher de chá de fermento químico
Orégano, cheiro-verde, sal e pimenta a gosto</t>
  </si>
  <si>
    <t>Bata os ovos com um garfo.
Acrescente o atum, o queijo, o tomate e a cenoura.
Misture a farinha de aveia e os temperos.
Acrescente o fermento por último.
Distribua em forminhas de silicone.
Leve à airfryer a 180 °C por aproximadamente 12 a 15 minutos.</t>
  </si>
  <si>
    <t>3 muffins</t>
  </si>
  <si>
    <t>O queijo minas pode ser substituído por cottage.</t>
  </si>
  <si>
    <t>Muffin Proteico de Atum e Queijo em porção individual sobre prato claro, corte ou interior visível e superfície levemente dourada.</t>
  </si>
  <si>
    <t>NL-190</t>
  </si>
  <si>
    <t>Cottage Cremoso com Ovos, Tomate e Torrada</t>
  </si>
  <si>
    <t>2 ovos
100 g de cottage
1 fatia de pão integral (30 g)
60 g de tomate-cereja
Cebolinha e orégano a gosto
Sal e pimenta-do-reino a gosto</t>
  </si>
  <si>
    <t>Prepare os ovos mexidos em fogo baixo.
Coloque o cottage em uma tigela ou prato.
Acrescente os ovos ainda quentes.
Finalize com tomate, cebolinha e orégano.
Torre o pão e sirva ao lado.</t>
  </si>
  <si>
    <t>Pode usar cottage zero lactose para uma versão sem lactose.</t>
  </si>
  <si>
    <t>Cottage Cremoso com Ovos, Tomate e Torrada montado em prato claro, recheio visível e ingredientes distribuídos de forma fiel à receita.</t>
  </si>
  <si>
    <t>NL-191</t>
  </si>
  <si>
    <t>Pão Sírio com Frango, Queijo e Tomate</t>
  </si>
  <si>
    <t>1 pão sírio pequeno (50 g)
80 g de frango cozido e desfiado
30 g de queijo minas
30 g de creme de ricota
40 g de tomate em rodelas
Orégano a gosto</t>
  </si>
  <si>
    <t>Abra o pão sírio.
Misture o frango com o creme de ricota.
Recheie com o frango, o queijo e o tomate.
Finalize com orégano.
Leve à sanduicheira ou frigideira até o pão ficar levemente crocante e o queijo aquecer.</t>
  </si>
  <si>
    <t>Pão Sírio com Frango, Queijo e Tomate montado em prato claro, recheio visível e ingredientes distribuídos de forma fiel à receita.</t>
  </si>
  <si>
    <t>NL-192</t>
  </si>
  <si>
    <t>Queijo Minas Grelhado com Ovos e Tomate</t>
  </si>
  <si>
    <t>2 ovos
60 g de queijo minas frescal
80 g de tomate
1 colher de chá de azeite (5 ml)
Orégano e pimenta-do-reino a gosto</t>
  </si>
  <si>
    <t>Grelhe o queijo dos dois lados.
Reserve.
Prepare os ovos.
Doure rapidamente o tomate.
Sirva tudo junto e finalize com orégano.</t>
  </si>
  <si>
    <t>Queijo Minas Grelhado com Ovos e Tomate servido em prato claro, porção individual bem montada, com os ingredientes principais visíveis e aparência caseira natural.</t>
  </si>
  <si>
    <t>NL-193</t>
  </si>
  <si>
    <t>Tostada de Frango com Creme de Ricota e Tomate</t>
  </si>
  <si>
    <t>2 fatias de pão integral (50 g)
70 g de frango cozido e desfiado
30 g de creme de ricota
40 g de tomate
10 g de parmesão ralado
Orégano a gosto</t>
  </si>
  <si>
    <t>Misture o frango com o creme de ricota.
Distribua sobre o pão.
Acrescente tomate.
Finalize com parmesão e orégano.
Leve à airfryer a 180 °C por aproximadamente 5 minutos.</t>
  </si>
  <si>
    <t>Tostada de Frango com Creme de Ricota e Tomate servido em tigela clara, textura cremosa e acabamento com ervas ou ingrediente principal aparente.</t>
  </si>
  <si>
    <t>NL-194</t>
  </si>
  <si>
    <t>Frango ao Molho de Laranja com Arroz e Cenoura</t>
  </si>
  <si>
    <t>150 g de peito de frango em cubos
80 g de arroz cozido
50 ml de suco de laranja natural
40 g de cenoura ralada
30 g de cebola
1 colher de chá de azeite (5 ml)
Alho, sal e pimenta-do-reino a gosto
Cheiro-verde a gosto</t>
  </si>
  <si>
    <t>Tempere o frango.
Doure no azeite.
Acrescente cebola e cenoura.
Junte o suco de laranja e cozinhe até reduzir levemente.
Sirva com o arroz.
Finalize com cheiro-verde.</t>
  </si>
  <si>
    <t>Frango ao Molho de Laranja com Arroz e Cenoura servido em pequena molheira clara, textura e cor naturais, acompanhado dos ingredientes que compõem a receita.</t>
  </si>
  <si>
    <t>NL-195</t>
  </si>
  <si>
    <t>Carne Moída com Batata e Ervilha</t>
  </si>
  <si>
    <t>150 g de patinho moído
120 g de batata em cubos
40 g de ervilha
60 g de tomate
30 g de cebola
1 colher de chá de azeite
Alho, sal, páprica e cheiro-verde a gosto</t>
  </si>
  <si>
    <t>Refogue cebola e alho no azeite.
Acrescente a carne e deixe dourar.
Junte o tomate.
Acrescente a batata previamente cozida e a ervilha.
Misture e deixe apurar por alguns minutos.
Finalize com cheiro-verde.</t>
  </si>
  <si>
    <t>Carne Moída com Batata e Ervilha servido em prato claro, porção individual bem montada, com os ingredientes principais visíveis e aparência caseira natural.</t>
  </si>
  <si>
    <t>NL-196</t>
  </si>
  <si>
    <t>Filé de Peixe Assado com Tomate, Cebola e Batata</t>
  </si>
  <si>
    <t>170 g de filé de pescada ou linguado
120 g de batata em rodelas
80 g de tomate
40 g de cebola
1 colher de chá de azeite
Limão, alho, sal e orégano a gosto</t>
  </si>
  <si>
    <t>Tempere o peixe.
Cozinhe a batata por 5 minutos.
Monte um refratário com batata, tomate e cebola.
Coloque o peixe por cima.
Regue com azeite.
Asse a 200 °C por aproximadamente 20 minutos.</t>
  </si>
  <si>
    <t>Filé de Peixe Assado com Tomate, Cebola e Batata servido em prato claro, porção individual bem montada, com os ingredientes principais visíveis e aparência caseira natural.</t>
  </si>
  <si>
    <t>NL-197</t>
  </si>
  <si>
    <t>Frango Gratinado com Espinafre e Creme de Ricota</t>
  </si>
  <si>
    <t>150 g de frango em tiras
60 g de espinafre
50 g de creme de ricota
30 g de muçarela
40 g de tomate
20 g de cebola
Sal, alho e pimenta a gosto</t>
  </si>
  <si>
    <t>Doure o frango com cebola e alho.
Acrescente o espinafre e deixe murchar.
Misture o creme de ricota.
Transfira para um refratário.
Acrescente tomate e muçarela.
Leve ao forno até gratinar.</t>
  </si>
  <si>
    <t>Frango Gratinado com Espinafre e Creme de Ricota servido em tigela clara, textura cremosa e acabamento com ervas ou ingrediente principal aparente.</t>
  </si>
  <si>
    <t>NL-198</t>
  </si>
  <si>
    <t>Escondidinho de Carne com Purê de Abóbora</t>
  </si>
  <si>
    <t>140 g de patinho moído
200 g de abóbora cabotiá cozida
30 ml de leite
30 g de queijo minas
50 g de tomate
30 g de cebola
Sal, alho e cheiro-verde a gosto</t>
  </si>
  <si>
    <t>Amasse a abóbora com o leite.
Refogue a carne com cebola, alho e tomate.
Coloque a carne em um refratário.
Cubra com o purê.
Finalize com o queijo.
Leve ao forno até dourar.</t>
  </si>
  <si>
    <t>Escondidinho de Carne com Purê de Abóbora servido em prato claro, porção individual bem montada, com os ingredientes principais visíveis e aparência caseira natural.</t>
  </si>
  <si>
    <t>NL-199</t>
  </si>
  <si>
    <t>Arroz de Forno com Frango, Milho e Queijo</t>
  </si>
  <si>
    <t>100 g de arroz cozido
100 g de frango desfiado
40 g de milho
40 g de tomate
30 g de queijo minas
30 g de creme de ricota
Cheiro-verde e orégano a gosto</t>
  </si>
  <si>
    <t>Misture o arroz com o frango, milho, tomate e creme de ricota.
Coloque em um refratário.
Cubra com o queijo.
Finalize com orégano.
Leve ao forno por aproximadamente 15 minutos.</t>
  </si>
  <si>
    <t>Arroz de Forno com Frango, Milho e Queijo servido em prato claro, porção individual bem montada, com os ingredientes principais visíveis e aparência caseira natural.</t>
  </si>
  <si>
    <t>NL-200</t>
  </si>
  <si>
    <t>Bife Rolê com Cenoura ao Molho de Tomate</t>
  </si>
  <si>
    <t>160 g de patinho em bifes finos
50 g de cenoura em palitos
30 g de cebola
100 g de molho de tomate
1 colher de chá de azeite
Alho, sal e pimenta a gosto</t>
  </si>
  <si>
    <t>Tempere os bifes.
Coloque palitos de cenoura sobre cada um.
Enrole e prenda com palitos.
Doure no azeite.
Acrescente cebola e molho de tomate.
Tampe e cozinhe até a carne ficar macia.</t>
  </si>
  <si>
    <t>Bife Rolê com Cenoura ao Molho de Tomate servido em pequena molheira clara, textura e cor naturais, acompanhado dos ingredientes que compõem a receita.</t>
  </si>
  <si>
    <t>NL-201</t>
  </si>
  <si>
    <t>Frango com Quiabo e Arroz</t>
  </si>
  <si>
    <t>Rico em proteínas • Rico em fibras • Sem glúten • Sem lactose</t>
  </si>
  <si>
    <t>150 g de peito de frango em cubos
120 g de quiabo
80 g de arroz cozido
50 g de tomate
30 g de cebola
1 colher de chá de azeite
Alho, sal, páprica e cheiro-verde a gosto</t>
  </si>
  <si>
    <t>Doure o frango no azeite.
Acrescente cebola e alho.
Junte o quiabo e o tomate.
Cozinhe até ficar macio.
Sirva com o arroz.
Finalize com cheiro-verde.</t>
  </si>
  <si>
    <t>Frango com Quiabo e Arroz servido em prato claro, porção individual bem montada, com os ingredientes principais visíveis e aparência caseira natural.</t>
  </si>
  <si>
    <t>NL-202</t>
  </si>
  <si>
    <t>Salmão com Crosta de Gergelim e Legumes</t>
  </si>
  <si>
    <t>150 g de salmão
10 g de gergelim
80 g de abobrinha
80 g de cenoura
70 g de brócolis
1 colher de chá de azeite
Sal e pimenta a gosto</t>
  </si>
  <si>
    <t>Tempere o salmão.
Pressione o gergelim sobre a superfície.
Asse ou grelhe até atingir o ponto desejado.
Salteie os legumes no azeite.
Sirva juntos.</t>
  </si>
  <si>
    <t>Salmão com Crosta de Gergelim e Legumes servido em prato claro, porção individual bem montada, com os ingredientes principais visíveis e aparência caseira natural.</t>
  </si>
  <si>
    <t>NL-203</t>
  </si>
  <si>
    <t>Carne Assada com Batata-Doce e Cebola</t>
  </si>
  <si>
    <t>160 g de carne bovina magra
130 g de batata-doce
60 g de cebola
1 colher de chá de azeite
Alho, sal, páprica e alecrim a gosto</t>
  </si>
  <si>
    <t>Tempere a carne.
Corte a batata em cubos.
Disponha carne, batata e cebola em uma assadeira.
Regue com azeite.
Asse a 200 °C até dourar e a carne atingir o ponto desejado.</t>
  </si>
  <si>
    <t>Carne Assada com Batata-Doce e Cebola servido em prato claro, porção individual bem montada, com os ingredientes principais visíveis e aparência caseira natural.</t>
  </si>
  <si>
    <t>NL-204</t>
  </si>
  <si>
    <t>Frango com Creme de Abóbora e Queijo</t>
  </si>
  <si>
    <t>150 g de frango em cubos
150 g de abóbora cozida
30 g de creme de ricota
30 g de queijo minas
30 g de cebola
Sal, páprica e cheiro-verde a gosto</t>
  </si>
  <si>
    <t>Bata ou amasse a abóbora com o creme de ricota.
Doure o frango com a cebola.
Acrescente o creme de abóbora.
Misture bem.
Finalize com queijo.
Tampe até derreter.</t>
  </si>
  <si>
    <t>Frango com Creme de Abóbora e Queijo servido em tigela clara, textura cremosa e acabamento com ervas ou ingrediente principal aparente.</t>
  </si>
  <si>
    <t>NL-205</t>
  </si>
  <si>
    <t>Peixe ao Molho de Tomate com Alcaparras</t>
  </si>
  <si>
    <t>170 g de filé de peixe branco
120 g de molho de tomate
10 g de alcaparras
30 g de cebola
1 colher de chá de azeite
Alho, pimenta e cheiro-verde a gosto</t>
  </si>
  <si>
    <t>Tempere o peixe.
Doure rapidamente no azeite.
Acrescente cebola e molho de tomate.
Junte as alcaparras.
Tampe e cozinhe até o peixe ficar macio.
Finalize com cheiro-verde.</t>
  </si>
  <si>
    <t>Peixe ao Molho de Tomate com Alcaparras servido em pequena molheira clara, textura e cor naturais, acompanhado dos ingredientes que compõem a receita.</t>
  </si>
  <si>
    <t>NL-206</t>
  </si>
  <si>
    <t>Carne Moída com Berinjela e Queijo Gratinado</t>
  </si>
  <si>
    <t>Rico em proteínas • Rico em fibras • Sem glúten</t>
  </si>
  <si>
    <t>140 g de patinho moído
150 g de berinjela em cubos
80 g de molho de tomate
40 g de muçarela
30 g de cebola
Alho e orégano a gosto</t>
  </si>
  <si>
    <t>Refogue a carne com cebola e alho.
Acrescente a berinjela.
Junte o molho de tomate.
Cozinhe até a berinjela ficar macia.
Transfira para um refratário.
Cubra com queijo e gratine.</t>
  </si>
  <si>
    <t>Carne Moída com Berinjela e Queijo Gratinado servido em prato claro, porção individual bem montada, com os ingredientes principais visíveis e aparência caseira natural.</t>
  </si>
  <si>
    <t>NL-207</t>
  </si>
  <si>
    <t>Frango Assado com Batata, Cebola e Tomate</t>
  </si>
  <si>
    <t>160 g de peito de frango
130 g de batata
80 g de tomate
50 g de cebola
1 colher de chá de azeite
Alho, páprica, sal e orégano a gosto</t>
  </si>
  <si>
    <t>Tempere o frango.
Corte batata, tomate e cebola.
Disponha tudo em uma assadeira.
Regue com azeite.
Asse a 200 °C por aproximadamente 30 minutos.</t>
  </si>
  <si>
    <t>Frango Assado com Batata, Cebola e Tomate servido em prato claro, porção individual bem montada, com os ingredientes principais visíveis e aparência caseira natural.</t>
  </si>
  <si>
    <t>NL-208</t>
  </si>
  <si>
    <t>Lombo Suíno com Molho de Mostarda e Mel</t>
  </si>
  <si>
    <t>160 g de lombo suíno
10 g de mostarda
5 g de mel
1 colher de chá de azeite
30 g de cebola
Sal e pimenta a gosto</t>
  </si>
  <si>
    <t>Tempere o lombo.
Doure no azeite.
Retire e reserve.
Refogue a cebola.
Misture mostarda e mel.
Retorne o lombo e envolva no molho.</t>
  </si>
  <si>
    <t>Lombo Suíno com Molho de Mostarda e Mel servido em pequena molheira clara, textura e cor naturais, acompanhado dos ingredientes que compõem a receita.</t>
  </si>
  <si>
    <t>NL-209</t>
  </si>
  <si>
    <t>Arroz com Lentilha e Carne em Tiras</t>
  </si>
  <si>
    <t>120 g de carne bovina em tiras
70 g de arroz cozido
70 g de lentilha cozida
40 g de cebola
50 g de tomate
1 colher de chá de azeite
Sal e cheiro-verde a gosto</t>
  </si>
  <si>
    <t>Doure a carne.
Acrescente cebola e tomate.
Misture arroz e lentilha.
Acrescente à frigideira.
Ajuste os temperos.
Finalize com cheiro-verde.</t>
  </si>
  <si>
    <t>Arroz com Lentilha e Carne em Tiras servido em prato claro, porção individual bem montada, com os ingredientes principais visíveis e aparência caseira natural.</t>
  </si>
  <si>
    <t>NL-210</t>
  </si>
  <si>
    <t>Torta de Batata com Atum e Tomate</t>
  </si>
  <si>
    <t>150 g de batata cozida
100 g de atum em água escorrido
1 ovo
50 g de tomate
30 g de queijo minas
20 g de cebola
Cheiro-verde e orégano a gosto</t>
  </si>
  <si>
    <t>Amasse a batata.
Misture com o ovo.
Coloque metade em um refratário.
Recheie com atum, tomate e cebola.
Cubra com o restante.
Finalize com queijo e orégano.
Asse até dourar.</t>
  </si>
  <si>
    <t>Torta de Batata com Atum e Tomate em porção individual sobre prato claro, corte ou interior visível e superfície levemente dourada.</t>
  </si>
  <si>
    <t>NL-211</t>
  </si>
  <si>
    <t>Grão-de-Bico ao Molho de Tomate com Ovos</t>
  </si>
  <si>
    <t>Rico em proteínas • Rico em fibras • Vegetariano • Sem glúten</t>
  </si>
  <si>
    <t>120 g de grão-de-bico cozido
2 ovos
100 g de molho de tomate
50 g de tomate
30 g de cebola
30 g de queijo minas
Cheiro-verde e páprica a gosto</t>
  </si>
  <si>
    <t>Refogue cebola e tomate.
Acrescente o molho e o grão-de-bico.
Abra dois espaços e coloque os ovos.
Tampe até os ovos cozinharem.
Finalize com o queijo e cheiro-verde.</t>
  </si>
  <si>
    <t>Grão-de-Bico ao Molho de Tomate com Ovos servido em pequena molheira clara, textura e cor naturais, acompanhado dos ingredientes que compõem a receita.</t>
  </si>
  <si>
    <t>NL-212</t>
  </si>
  <si>
    <t>Lentilha Cremosa com Legumes e Ovo</t>
  </si>
  <si>
    <t>Rico em fibras • Vegetariano • Sem glúten</t>
  </si>
  <si>
    <t>150 g de lentilha cozida
2 ovos
60 g de cenoura
60 g de abobrinha
50 g de tomate
30 g de cebola
1 colher de chá de azeite
Sal, alho e cheiro-verde a gosto</t>
  </si>
  <si>
    <t>Refogue os legumes no azeite.
Acrescente a lentilha.
Amasse uma pequena parte para deixar o caldo cremoso.
Prepare os ovos separadamente.
Sirva sobre a lentilha.
Finalize com cheiro-verde.</t>
  </si>
  <si>
    <t>Lentilha Cremosa com Legumes e Ovo servido em prato claro, porção individual bem montada, com os ingredientes principais visíveis e aparência caseira natural.</t>
  </si>
  <si>
    <t>NL-213</t>
  </si>
  <si>
    <t>Frango com Feijão-Preto, Arroz e Vinagrete</t>
  </si>
  <si>
    <t>130 g de peito de frango grelhado
70 g de arroz cozido
80 g de feijão-preto cozido
50 g de tomate
30 g de cebola
20 g de pimentão
1 colher de chá de azeite
Limão, sal e cheiro-verde a gosto</t>
  </si>
  <si>
    <t>Tempere e grelhe o frango.
Aqueça arroz e feijão.
Misture tomate, cebola, pimentão, limão e cheiro-verde para fazer o vinagrete.
Monte o prato com todos os componentes.</t>
  </si>
  <si>
    <t>Frango com Feijão-Preto, Arroz e Vinagrete servido em prato claro, porção individual bem montada, com os ingredientes principais visíveis e aparência caseira natural.</t>
  </si>
  <si>
    <t>NL-214</t>
  </si>
  <si>
    <t>Arroz com Brócolis e Alho</t>
  </si>
  <si>
    <t>Rico em fibras • Sem glúten • Sem lactose • Vegano</t>
  </si>
  <si>
    <t>100 g de arroz cozido
80 g de brócolis picado
1 dente de alho
1 colher de chá de azeite (5 ml)
Sal e cheiro-verde a gosto</t>
  </si>
  <si>
    <t>Refogue o alho no azeite.
Acrescente o brócolis e cozinhe por alguns minutos.
Junte o arroz cozido.
Misture bem.
Ajuste o sal e finalize com cheiro-verde.</t>
  </si>
  <si>
    <t>Arroz com Brócolis e Alho servido em prato claro, porção individual bem montada, com os ingredientes principais visíveis e aparência caseira natural.</t>
  </si>
  <si>
    <t>NL-215</t>
  </si>
  <si>
    <t>Arroz com Cenoura e Ervilha</t>
  </si>
  <si>
    <t>100 g de arroz cozido
50 g de cenoura ralada
40 g de ervilha
20 g de cebola
1 colher de chá de azeite
Sal a gosto</t>
  </si>
  <si>
    <t>Refogue a cebola no azeite.
Acrescente a cenoura e a ervilha.
Cozinhe por 2 a 3 minutos.
Adicione o arroz.
Misture bem e ajuste o sal.</t>
  </si>
  <si>
    <t>Arroz com Cenoura e Ervilha servido em prato claro, porção individual bem montada, com os ingredientes principais visíveis e aparência caseira natural.</t>
  </si>
  <si>
    <t>NL-216</t>
  </si>
  <si>
    <t>Arroz Cremoso com Abóbora</t>
  </si>
  <si>
    <t>100 g de arroz cozido
100 g de abóbora cozida e amassada
20 g de cebola
1 colher de chá de azeite
30 ml de água
Sal, noz-moscada e cheiro-verde a gosto</t>
  </si>
  <si>
    <t>Refogue a cebola no azeite.
Acrescente a abóbora.
Adicione a água e misture até formar um creme.
Junte o arroz.
Misture bem.
Finalize com cheiro-verde.</t>
  </si>
  <si>
    <t>Arroz Cremoso com Abóbora servido em prato claro, porção individual bem montada, com os ingredientes principais visíveis e aparência caseira natural.</t>
  </si>
  <si>
    <t>NL-217</t>
  </si>
  <si>
    <t>Arroz com Lentilha e Cebola Dourada</t>
  </si>
  <si>
    <t>80 g de arroz cozido
80 g de lentilha cozida
50 g de cebola fatiada
1 colher de chá de azeite
Sal e pimenta-do-reino a gosto</t>
  </si>
  <si>
    <t>Doure a cebola no azeite em fogo baixo.
Acrescente a lentilha.
Junte o arroz.
Misture bem.
Ajuste o sal e a pimenta.</t>
  </si>
  <si>
    <t>Arroz com Lentilha e Cebola Dourada servido em prato claro, porção individual bem montada, com os ingredientes principais visíveis e aparência caseira natural.</t>
  </si>
  <si>
    <t>NL-218</t>
  </si>
  <si>
    <t>Arroz com Açafrão, Milho e Cheiro-Verde</t>
  </si>
  <si>
    <t>Sem glúten • Sem lactose • Vegano</t>
  </si>
  <si>
    <t>100 g de arroz cozido
40 g de milho
1/2 colher de chá de cúrcuma
20 g de cebola
1 colher de chá de azeite
Cheiro-verde e sal a gosto</t>
  </si>
  <si>
    <t>Refogue a cebola no azeite.
Acrescente a cúrcuma.
Junte o milho.
Adicione o arroz.
Misture bem.
Finalize com cheiro-verde.</t>
  </si>
  <si>
    <t>Arroz com Açafrão, Milho e Cheiro-Verde servido em prato claro, porção individual bem montada, com os ingredientes principais visíveis e aparência caseira natural.</t>
  </si>
  <si>
    <t>NL-219</t>
  </si>
  <si>
    <t>Arroz com Espinafre e Tomate</t>
  </si>
  <si>
    <t>100 g de arroz cozido
60 g de espinafre
60 g de tomate picado
20 g de cebola
1 colher de chá de azeite
Sal e alho a gosto</t>
  </si>
  <si>
    <t>Refogue cebola e alho.
Acrescente o tomate.
Junte o espinafre e deixe murchar.
Adicione o arroz.
Misture bem.</t>
  </si>
  <si>
    <t>Arroz com Espinafre e Tomate servido em prato claro, porção individual bem montada, com os ingredientes principais visíveis e aparência caseira natural.</t>
  </si>
  <si>
    <t>NL-220</t>
  </si>
  <si>
    <t>Arroz com Abobrinha e Cenoura</t>
  </si>
  <si>
    <t>100 g de arroz cozido
60 g de abobrinha ralada
50 g de cenoura ralada
20 g de cebola
1 colher de chá de azeite
Sal, alho e cheiro-verde a gosto</t>
  </si>
  <si>
    <t>Refogue cebola e alho.
Acrescente a cenoura e a abobrinha.
Cozinhe rapidamente.
Junte o arroz.
Misture e finalize com cheiro-verde.</t>
  </si>
  <si>
    <t>Arroz com Abobrinha e Cenoura servido em prato claro, porção individual bem montada, com os ingredientes principais visíveis e aparência caseira natural.</t>
  </si>
  <si>
    <t>NL-221</t>
  </si>
  <si>
    <t>Arroz com Feijão-Fradinho e Pimentão</t>
  </si>
  <si>
    <t>80 g de arroz cozido
80 g de feijão-fradinho cozido
40 g de pimentão picado
30 g de tomate
20 g de cebola
1 colher de chá de azeite
Cheiro-verde, sal e pimenta a gosto</t>
  </si>
  <si>
    <t>Refogue cebola e pimentão.
Acrescente o tomate.
Junte o feijão-fradinho.
Adicione o arroz.
Misture e finalize com cheiro-verde.</t>
  </si>
  <si>
    <t>Arroz com Feijão-Fradinho e Pimentão servido em prato claro, porção individual bem montada, com os ingredientes principais visíveis e aparência caseira natural.</t>
  </si>
  <si>
    <t>NL-222</t>
  </si>
  <si>
    <t>Arroz Integral com Cogumelos e Ervas</t>
  </si>
  <si>
    <t>100 g de arroz integral cozido
80 g de cogumelos fatiados
20 g de cebola
1 colher de chá de azeite
Alho, salsinha e tomilho a gosto
Sal e pimenta-do-reino a gosto</t>
  </si>
  <si>
    <t>Refogue cebola e alho no azeite.
Acrescente os cogumelos.
Cozinhe até dourarem.
Junte o arroz integral.
Finalize com as ervas.</t>
  </si>
  <si>
    <t>Arroz Integral com Cogumelos e Ervas servido em prato claro, porção individual bem montada, com os ingredientes principais visíveis e aparência caseira natural.</t>
  </si>
  <si>
    <t>NL-223</t>
  </si>
  <si>
    <t>Arroz com Couve e Alho</t>
  </si>
  <si>
    <t>100 g de arroz cozido
70 g de couve fatiada fina
1 dente de alho
1 colher de chá de azeite
Sal e pimenta a gosto</t>
  </si>
  <si>
    <t>Doure o alho no azeite.
Acrescente a couve e refogue rapidamente.
Junte o arroz.
Misture bem.
Ajuste os temperos.</t>
  </si>
  <si>
    <t>Arroz com Couve e Alho servido em prato claro, porção individual bem montada, com os ingredientes principais visíveis e aparência caseira natural.</t>
  </si>
  <si>
    <t>NL-224</t>
  </si>
  <si>
    <t>Arroz com Abacaxi e Cebola Dourada</t>
  </si>
  <si>
    <t>100 g de arroz cozido
70 g de abacaxi em cubos pequenos
30 g de cebola fatiada
1 colher de chá de azeite
Cheiro-verde a gosto
Sal e pimenta-do-reino a gosto</t>
  </si>
  <si>
    <t>Aqueça o azeite e doure a cebola.
Acrescente o abacaxi.
Cozinhe por 2 a 3 minutos.
Junte o arroz.
Misture delicadamente.
Finalize com cheiro-verde.</t>
  </si>
  <si>
    <t>Arroz com Abacaxi e Cebola Dourada servido em prato claro, porção individual bem montada, com os ingredientes principais visíveis e aparência caseira natural.</t>
  </si>
  <si>
    <t>NL-225</t>
  </si>
  <si>
    <t>Arroz com Amêndoas em Lascas</t>
  </si>
  <si>
    <t>100 g de arroz cozido
15 g de amêndoas em lascas
20 g de cebola picada
1 colher de chá de azeite
Salsinha a gosto
Sal e pimenta-do-reino a gosto</t>
  </si>
  <si>
    <t>Doure levemente as amêndoas em uma frigideira seca.
Retire e reserve.
Na mesma frigideira, aqueça o azeite e refogue a cebola.
Acrescente o arroz.
Junte as amêndoas.
Finalize com salsinha.</t>
  </si>
  <si>
    <t>Arroz com Amêndoas em Lascas servido em prato claro, porção individual bem montada, com os ingredientes principais visíveis e aparência caseira natural.</t>
  </si>
  <si>
    <t>NL-226</t>
  </si>
  <si>
    <t>Arroz com Coco Seco Ralado</t>
  </si>
  <si>
    <t>100 g de arroz cozido
15 g de coco seco ralado sem açúcar
20 g de cebola picada
1 colher de chá de azeite
Cheiro-verde a gosto
Sal a gosto</t>
  </si>
  <si>
    <t>Aqueça o azeite e refogue a cebola.
Acrescente o coco ralado e mexa por alguns segundos.
Junte o arroz cozido.
Misture bem.
Ajuste o sal.
Finalize com cheiro-verde.</t>
  </si>
  <si>
    <t>Arroz com Coco Seco Ralado servido em prato claro, porção individual bem montada, com os ingredientes principais visíveis e aparência caseira natural.</t>
  </si>
  <si>
    <t>NL-227</t>
  </si>
  <si>
    <t>Salada Fria de Feijão-Branco com Tomate e Pepino</t>
  </si>
  <si>
    <t>Rico em fibras • Vegano • Sem glúten • Sem lactose</t>
  </si>
  <si>
    <t>120 g de feijão-branco cozido e escorrido
70 g de tomate-cereja cortado ao meio
60 g de pepino em cubos
30 g de cebola roxa fatiada
10 g de salsinha picada
1 colher de chá de azeite (5 ml)
1 colher de sopa de suco de limão
Sal e pimenta-do-reino a gosto</t>
  </si>
  <si>
    <t>Coloque o feijão-branco já frio em uma tigela.
Acrescente o tomate, o pepino, a cebola e a salsinha.
Tempere com azeite, limão, sal e pimenta.
Misture delicadamente.
Mantenha refrigerada até servir.</t>
  </si>
  <si>
    <t>Salada Fria de Feijão-Branco com Tomate e Pepino montada em prato raso claro, ingredientes frescos bem distribuídos e apresentação colorida e natural.</t>
  </si>
  <si>
    <t>NL-228</t>
  </si>
  <si>
    <t>Salada Fria de Feijão-Rajado com Milho e Vinagrete</t>
  </si>
  <si>
    <t>120 g de feijão-rajado cozido e escorrido
40 g de milho cozido
60 g de tomate picado
30 g de cebola roxa
30 g de pimentão amarelo picado
Cheiro-verde a gosto
1 colher de chá de azeite (5 ml)
1 colher de sopa de vinagre
Sal e pimenta-do-reino a gosto</t>
  </si>
  <si>
    <t>Deixe o feijão esfriar completamente.
Misture com o milho, tomate, cebola e pimentão.
Tempere com azeite, vinagre, sal e pimenta.
Acrescente cheiro-verde.
Leve à geladeira até o momento de servir.</t>
  </si>
  <si>
    <t>Salada Fria de Feijão-Rajado com Milho e Vinagrete montada em prato raso claro, ingredientes frescos bem distribuídos e apresentação colorida e natural.</t>
  </si>
  <si>
    <t>NL-229</t>
  </si>
  <si>
    <t>Salada Fria de Feijão-Fradinho com Manga e Hortelã</t>
  </si>
  <si>
    <t>120 g de feijão-fradinho cozido e escorrido
70 g de manga em cubos
50 g de pepino em cubos
30 g de cebola roxa
Hortelã picada a gosto
1 colher de chá de azeite (5 ml)
1 colher de sopa de suco de limão
Sal e pimenta-do-reino a gosto</t>
  </si>
  <si>
    <t>Coloque o feijão-fradinho frio em uma tigela.
Acrescente manga, pepino e cebola.
Tempere com azeite, limão, sal e pimenta.
Misture delicadamente.
Finalize com hortelã.</t>
  </si>
  <si>
    <t>Salada Fria de Feijão-Fradinho com Manga e Hortelã montada em prato raso claro, ingredientes frescos bem distribuídos e apresentação colorida e natural.</t>
  </si>
  <si>
    <t>NL-230</t>
  </si>
  <si>
    <t>Salada Fria de Feijão-Vermelho com Cenoura e Tomate</t>
  </si>
  <si>
    <t>120 g de feijão-vermelho cozido e escorrido
60 g de cenoura ralada
60 g de tomate em cubos
30 g de cebola roxa
20 g de pimentão amarelo
1 colher de chá de azeite (5 ml)
1 colher de sopa de vinagre
Salsinha, sal e pimenta a gosto</t>
  </si>
  <si>
    <t>Misture o feijão frio com a cenoura.
Acrescente o tomate, a cebola e o pimentão.
Tempere com azeite, vinagre, sal e pimenta.
Finalize com salsinha.
Sirva bem fresca.</t>
  </si>
  <si>
    <t>Salada Fria de Feijão-Vermelho com Cenoura e Tomate montada em prato raso claro, ingredientes frescos bem distribuídos e apresentação colorida e natural.</t>
  </si>
  <si>
    <t>NL-231</t>
  </si>
  <si>
    <t>Salada Fria de Feijão-Carioca com Abobrinha e Tomate</t>
  </si>
  <si>
    <t>120 g de feijão-carioca cozido e bem escorrido
70 g de abobrinha em cubinhos
60 g de tomate picado
30 g de cebola roxa
20 g de cenoura ralada
Cheiro-verde a gosto
1 colher de chá de azeite (5 ml)
1 colher de sopa de suco de limão
Sal e pimenta-do-reino a gosto</t>
  </si>
  <si>
    <t>Deixe o feijão completamente frio e bem escorrido.
Misture com a abobrinha, tomate, cebola e cenoura.
Tempere com azeite, limão, sal e pimenta.
Finalize com cheiro-verde.
Mantenha refrigerada até servir.</t>
  </si>
  <si>
    <t>Salada Fria de Feijão-Carioca com Abobrinha e Tomate montada em prato raso claro, ingredientes frescos bem distribuídos e apresentação colorida e natural.</t>
  </si>
  <si>
    <t>NL-232</t>
  </si>
  <si>
    <t>Sopa de Mandioca com Frango e Couve</t>
  </si>
  <si>
    <t>150 g de peito de frango cozido e desfiado
150 g de mandioca cozida
60 g de couve fatiada
40 g de cebola
1 dente de alho
400 ml de água ou caldo caseiro
1 colher de chá de azeite
Sal, pimenta e cheiro-verde a gosto</t>
  </si>
  <si>
    <t>Bata a mandioca com parte da água até formar um creme.
Refogue cebola e alho no azeite.
Acrescente o frango.
Junte o creme de mandioca e o restante da água.
Cozinhe por alguns minutos.
Acrescente a couve no final e cozinhe até murchar.</t>
  </si>
  <si>
    <t>Sopa de Mandioca com Frango e Couve servido em tigela clara, textura cremosa e acabamento com ervas ou ingrediente principal aparente.</t>
  </si>
  <si>
    <t>NL-233</t>
  </si>
  <si>
    <t>Sopa de Lentilha com Carne Moída e Cenoura</t>
  </si>
  <si>
    <t>100 g de patinho moído
120 g de lentilha cozida
70 g de cenoura em cubos
50 g de tomate
30 g de cebola
400 ml de água
1 colher de chá de azeite
Alho, sal, páprica e cheiro-verde a gosto</t>
  </si>
  <si>
    <t>Refogue cebola e alho.
Acrescente a carne e deixe dourar.
Junte tomate e cenoura.
Acrescente a lentilha e a água.
Cozinhe até os legumes ficarem macios.
Finalize com cheiro-verde.</t>
  </si>
  <si>
    <t>Sopa de Lentilha com Carne Moída e Cenoura servido em tigela clara, textura cremosa e acabamento com ervas ou ingrediente principal aparente.</t>
  </si>
  <si>
    <t>NL-234</t>
  </si>
  <si>
    <t>Creme de Abóbora com Carne Seca Desfiada</t>
  </si>
  <si>
    <t>150 g de abóbora cabotiá cozida
120 g de carne seca dessalgada, cozida e desfiada
40 g de cebola
1 dente de alho
350 ml de água
1 colher de chá de azeite
Cheiro-verde e pimenta-do-reino a gosto</t>
  </si>
  <si>
    <t>Bata a abóbora com a água.
Refogue cebola e alho no azeite.
Acrescente a carne seca.
Junte o creme de abóbora.
Cozinhe por 5 a 8 minutos.
Finalize com cheiro-verde.</t>
  </si>
  <si>
    <t>Creme de Abóbora com Carne Seca Desfiada servido em tigela clara, textura cremosa e acabamento com ervas ou ingrediente principal aparente.</t>
  </si>
  <si>
    <t>NL-235</t>
  </si>
  <si>
    <t>Sopa de Feijão-Branco com Frango e Espinafre</t>
  </si>
  <si>
    <t>120 g de feijão-branco cozido
100 g de frango desfiado
60 g de espinafre
50 g de tomate
30 g de cebola
400 ml de água
Alho, sal e pimenta a gosto</t>
  </si>
  <si>
    <t>Bata metade do feijão com parte da água.
Refogue cebola e alho.
Acrescente o frango.
Junte o feijão batido e o feijão inteiro.
Acrescente o tomate.
Finalize com o espinafre e cozinhe até murchar.</t>
  </si>
  <si>
    <t>Sopa de Feijão-Branco com Frango e Espinafre servido em tigela clara, textura cremosa e acabamento com ervas ou ingrediente principal aparente.</t>
  </si>
  <si>
    <t>NL-236</t>
  </si>
  <si>
    <t>Caldo de Batata-Doce com Carne Desfiada</t>
  </si>
  <si>
    <t>150 g de carne bovina magra cozida e desfiada
150 g de batata-doce cozida
40 g de cebola
1 dente de alho
350 ml de água
1 colher de chá de azeite
Sal, pimenta e cheiro-verde a gosto</t>
  </si>
  <si>
    <t>Bata a batata-doce com a água.
Refogue cebola e alho no azeite.
Acrescente a carne.
Junte o creme de batata-doce.
Cozinhe até ficar bem quente e cremoso.
Finalize com cheiro-verde.</t>
  </si>
  <si>
    <t>Caldo de Batata-Doce com Carne Desfiada servido em tigela clara, textura cremosa e acabamento com ervas ou ingrediente principal aparente.</t>
  </si>
  <si>
    <t>NL-237</t>
  </si>
  <si>
    <t>Sopa de Grão-de-Bico com Frango e Legumes</t>
  </si>
  <si>
    <t>100 g de grão-de-bico cozido
100 g de frango desfiado
60 g de cenoura
60 g de abobrinha
50 g de tomate
400 ml de água
Sal, alho e cheiro-verde a gosto</t>
  </si>
  <si>
    <t>Coloque a cenoura, a abobrinha e o tomate para cozinhar.
Acrescente o grão-de-bico.
Junte o frango desfiado.
Cozinhe por mais alguns minutos.
Amasse parte do grão-de-bico para deixar o caldo mais encorpado.
Finalize com cheiro-verde.</t>
  </si>
  <si>
    <t>Sopa de Grão-de-Bico com Frango e Legumes servido em tigela clara, textura cremosa e acabamento com ervas ou ingrediente principal aparente.</t>
  </si>
  <si>
    <t>NL-238</t>
  </si>
  <si>
    <t>Creme de Inhame com Frango e Alho-Poró</t>
  </si>
  <si>
    <t>150 g de inhame cozido
120 g de frango cozido e desfiado
50 g de alho-poró fatiado
30 g de cebola
350 ml de água
1 colher de chá de azeite
Sal e pimenta a gosto</t>
  </si>
  <si>
    <t>Bata o inhame com a água.
Refogue cebola e alho-poró.
Acrescente o frango.
Junte o creme de inhame.
Cozinhe por alguns minutos.
Ajuste os temperos.</t>
  </si>
  <si>
    <t>Creme de Inhame com Frango e Alho-Poró servido em tigela clara, textura cremosa e acabamento com ervas ou ingrediente principal aparente.</t>
  </si>
  <si>
    <t>NL-239</t>
  </si>
  <si>
    <t>Sopa de Abóbora com Lentilha e Espinafre</t>
  </si>
  <si>
    <t>150 g de abóbora em cubos
120 g de lentilha cozida
60 g de espinafre
50 g de tomate
30 g de cebola
400 ml de água
1 colher de chá de azeite
Alho, sal e páprica a gosto</t>
  </si>
  <si>
    <t>Refogue cebola e alho.
Acrescente abóbora e tomate.
Junte a água e cozinhe até a abóbora amaciar.
Acrescente a lentilha.
Amasse alguns cubos de abóbora para engrossar o caldo.
Finalize com o espinafre.</t>
  </si>
  <si>
    <t>Sopa de Abóbora com Lentilha e Espinafre servido em tigela clara, textura cremosa e acabamento com ervas ou ingrediente principal aparente.</t>
  </si>
  <si>
    <t>NL-240</t>
  </si>
  <si>
    <t>Sopa de Arroz com Frango e Legumes</t>
  </si>
  <si>
    <t>120 g de frango cozido e desfiado
70 g de arroz cozido
60 g de cenoura
60 g de chuchu
50 g de tomate
30 g de cebola
450 ml de água
Sal, alho e cheiro-verde a gosto</t>
  </si>
  <si>
    <t>Cozinhe cenoura e chuchu na água.
Acrescente tomate e cebola.
Junte o frango.
Adicione o arroz.
Cozinhe por mais 5 minutos.
Finalize com cheiro-verde.</t>
  </si>
  <si>
    <t>Sopa de Arroz com Frango e Legumes servido em tigela clara, textura cremosa e acabamento com ervas ou ingrediente principal aparente.</t>
  </si>
  <si>
    <t>NL-241</t>
  </si>
  <si>
    <t>Caldo Verde Leve com Frango</t>
  </si>
  <si>
    <t>120 g de frango cozido e desfiado
150 g de batata cozida
70 g de couve fatiada
30 g de cebola
1 dente de alho
400 ml de água
1 colher de chá de azeite
Sal e pimenta-do-reino a gosto</t>
  </si>
  <si>
    <t>Bata a batata com a água até formar um caldo cremoso.
Refogue cebola e alho.
Acrescente o frango.
Junte o creme de batata.
Cozinhe por alguns minutos.
Acrescente a couve no final e cozinhe rapidamente.</t>
  </si>
  <si>
    <t>Caldo Verde Leve com Frango servido em tigela clara, textura cremosa e acabamento com ervas ou ingrediente principal aparente.</t>
  </si>
  <si>
    <t>NL-242</t>
  </si>
  <si>
    <t>Salada de Macarrão com Frango, Rúcula e Tomate</t>
  </si>
  <si>
    <t>80 g de macarrão cozido
100 g de peito de frango grelhado em tiras
40 g de rúcula
70 g de tomate-cereja
30 g de cenoura ralada
1 colher de sopa de iogurte natural
1 colher de chá de mostarda
1 colher de chá de azeite
Sal e pimenta-do-reino a gosto</t>
  </si>
  <si>
    <t>Cozinhe o macarrão e deixe esfriar.
Grelhe o frango e corte em tiras.
Misture o iogurte, a mostarda e o azeite.
Em uma tigela, coloque o macarrão, a rúcula, o tomate e a cenoura.
Acrescente o frango.
Finalize com o molho e misture delicadamente.</t>
  </si>
  <si>
    <t>Salada de Macarrão com Frango, Rúcula e Tomate montada em prato raso claro, ingredientes frescos bem distribuídos e apresentação colorida e natural.</t>
  </si>
  <si>
    <t>NL-243</t>
  </si>
  <si>
    <t>Salada de Penne com Atum, Alface e Pepino</t>
  </si>
  <si>
    <t>80 g de penne cozido
100 g de atum em água escorrido
50 g de alface americana
60 g de pepino em cubos
60 g de tomate
20 g de cebola roxa
1 colher de chá de azeite
1 colher de sopa de suco de limão
Cheiro-verde, sal e pimenta a gosto</t>
  </si>
  <si>
    <t>Cozinhe o penne e espere esfriar.
Misture com o atum.
Acrescente alface, pepino, tomate e cebola.
Tempere com azeite, limão, sal e pimenta.
Finalize com cheiro-verde.</t>
  </si>
  <si>
    <t>Salada de Penne com Atum, Alface e Pepino montada em prato raso claro, ingredientes frescos bem distribuídos e apresentação colorida e natural.</t>
  </si>
  <si>
    <t>NL-244</t>
  </si>
  <si>
    <t>Salada de Massa com Carne em Tiras, Agrião e Tomate</t>
  </si>
  <si>
    <t>80 g de macarrão parafuso cozido
100 g de carne bovina magra em tiras
40 g de agrião
60 g de tomate-cereja
40 g de cenoura ralada
20 g de cebola roxa
1 colher de chá de azeite
1 colher de chá de mostarda
1 colher de sopa de suco de limão
Sal e pimenta-do-reino a gosto</t>
  </si>
  <si>
    <t>Cozinhe a massa e deixe esfriar.
Grelhe a carne e corte em tiras.
Misture o azeite, a mostarda e o limão.
Junte a massa, o agrião, o tomate, a cenoura e a cebola.
Acrescente a carne.
Finalize com o molho.</t>
  </si>
  <si>
    <t>Salada de Massa com Carne em Tiras, Agrião e Tomate montada em prato raso claro, ingredientes frescos bem distribuídos e apresentação colorida e natural.</t>
  </si>
  <si>
    <t>NL-245</t>
  </si>
  <si>
    <t>Salada de Macarrão com Salmão, Espinafre e Tomate</t>
  </si>
  <si>
    <t>70 g de macarrão cozido
100 g de salmão grelhado em lascas
40 g de espinafre baby
60 g de tomate-cereja
50 g de pepino
1 colher de chá de azeite
1 colher de sopa de suco de limão
Dill ou cheiro-verde a gosto
Sal e pimenta a gosto</t>
  </si>
  <si>
    <t>Cozinhe a massa e deixe esfriar.
Grelhe o salmão e separe em lascas.
Misture a massa com o espinafre, tomate e pepino.
Acrescente o salmão.
Tempere com azeite, limão, sal e pimenta.
Finalize com dill ou cheiro-verde.</t>
  </si>
  <si>
    <t>Salada de Macarrão com Salmão, Espinafre e Tomate montada em prato raso claro, ingredientes frescos bem distribuídos e apresentação colorida e natural.</t>
  </si>
  <si>
    <t>NL-246</t>
  </si>
  <si>
    <t>Salada de Macarrão com Frango, Alface e Manga</t>
  </si>
  <si>
    <t>70 g de macarrão cozido
100 g de frango grelhado em cubos
50 g de alface
60 g de manga em cubos
50 g de pepino
20 g de cebola roxa
1 colher de sopa de iogurte natural
1 colher de chá de mostarda
1 colher de chá de azeite
Sal e pimenta a gosto</t>
  </si>
  <si>
    <t>Cozinhe o macarrão e deixe esfriar.
Grelhe o frango e corte em cubos.
Misture o iogurte, a mostarda e o azeite.
Junte a massa, alface, manga, pepino e cebola.
Acrescente o frango.
Finalize com o molho e misture delicadamente.</t>
  </si>
  <si>
    <t>Salada de Macarrão com Frango, Alface e Manga montada em prato raso claro, ingredientes frescos bem distribuídos e apresentação colorida e natural.</t>
  </si>
  <si>
    <t>NL-247</t>
  </si>
  <si>
    <t>Abobrinha Refogada com Alho e Ervas</t>
  </si>
  <si>
    <t>150 g de abobrinha em meia-lua
20 g de cebola picada
1 dente de alho
1 colher de chá de azeite (5 ml)
Orégano, salsinha, sal e pimenta-do-reino a gosto</t>
  </si>
  <si>
    <t>Aqueça o azeite e refogue a cebola e o alho.
Acrescente a abobrinha.
Cozinhe por poucos minutos, mexendo delicadamente.
Tempere e finalize com salsinha.</t>
  </si>
  <si>
    <t>Abobrinha Refogada com Alho e Ervas servido em prato claro, porção individual bem montada, com os ingredientes principais visíveis e aparência caseira natural.</t>
  </si>
  <si>
    <t>NL-248</t>
  </si>
  <si>
    <t>Chuchu Refogado com Tomate e Cheiro-Verde</t>
  </si>
  <si>
    <t>180 g de chuchu cozido em cubos
60 g de tomate picado
20 g de cebola
1 colher de chá de azeite (5 ml)
Alho, cheiro-verde, sal e pimenta a gosto</t>
  </si>
  <si>
    <t>Refogue a cebola e o alho no azeite.
Acrescente o tomate e deixe amolecer.
Junte o chuchu.
Misture bem e cozinhe por mais alguns minutos.
Finalize com cheiro-verde.</t>
  </si>
  <si>
    <t>Chuchu Refogado com Tomate e Cheiro-Verde servido em prato claro, porção individual bem montada, com os ingredientes principais visíveis e aparência caseira natural.</t>
  </si>
  <si>
    <t>NL-249</t>
  </si>
  <si>
    <t>Berinjela Refogada com Pimentão e Cebola</t>
  </si>
  <si>
    <t>140 g de berinjela em cubos
40 g de pimentão
30 g de cebola
50 g de tomate
1 colher de chá de azeite (5 ml)
Alho, orégano, sal e pimenta a gosto</t>
  </si>
  <si>
    <t>Refogue a cebola e o alho.
Acrescente a berinjela e o pimentão.
Cozinhe em fogo médio até começarem a amaciar.
Junte o tomate.
Tempere e cozinhe por mais alguns minutos.</t>
  </si>
  <si>
    <t>Berinjela Refogada com Pimentão e Cebola servido em prato claro, porção individual bem montada, com os ingredientes principais visíveis e aparência caseira natural.</t>
  </si>
  <si>
    <t>NL-250</t>
  </si>
  <si>
    <t>Mix de Couve-Flor e Cenoura Refogados</t>
  </si>
  <si>
    <t>120 g de couve-flor
60 g de cenoura em tiras finas
20 g de cebola
1 colher de chá de azeite (5 ml)
Alho, cúrcuma, sal e pimenta-do-reino a gosto</t>
  </si>
  <si>
    <t>Cozinhe rapidamente a couve-flor, deixando-a firme.
Refogue cebola e alho no azeite.
Acrescente a cenoura.
Junte a couve-flor.
Tempere e refogue por mais 2 a 3 minutos.</t>
  </si>
  <si>
    <t>Mix de Couve-Flor e Cenoura Refogados servido em prato claro, porção individual bem montada, com os ingredientes principais visíveis e aparência caseira natural.</t>
  </si>
  <si>
    <t>NL-251</t>
  </si>
  <si>
    <t>Repolho Refogado com Cenoura e Cebolinha</t>
  </si>
  <si>
    <t>130 g de repolho fatiado fino
50 g de cenoura ralada
20 g de cebola
1 colher de chá de azeite (5 ml)
Cebolinha, alho, sal e pimenta a gosto</t>
  </si>
  <si>
    <t>Aqueça o azeite e refogue cebola e alho.
Acrescente o repolho e a cenoura.
Refogue rapidamente, mantendo os legumes levemente crocantes.
Tempere.
Finalize com cebolinha.</t>
  </si>
  <si>
    <t>Repolho Refogado com Cenoura e Cebolinha servido em prato claro, porção individual bem montada, com os ingredientes principais visíveis e aparência caseira natural.</t>
  </si>
  <si>
    <t>NL-252</t>
  </si>
  <si>
    <t>Abóbora Cozida com Especiarias</t>
  </si>
  <si>
    <t>180 g de abóbora em cubos
1 colher de chá de azeite (5 ml)
Páprica doce a gosto
Cúrcuma a gosto
Pimenta-do-reino a gosto
Sal a gosto
Cheiro-verde a gosto</t>
  </si>
  <si>
    <t>Cozinhe a abóbora até ficar macia, sem desmanchar.
Escorra bem.
Misture com o azeite e as especiarias.
Ajuste o sal.
Finalize com cheiro-verde.</t>
  </si>
  <si>
    <t>Abóbora Cozida com Especiarias servido em prato claro, porção individual bem montada, com os ingredientes principais visíveis e aparência caseira natural.</t>
  </si>
  <si>
    <t>NL-253</t>
  </si>
  <si>
    <t>Vagem Refogada com Alho e Cebola</t>
  </si>
  <si>
    <t>160 g de vagem
20 g de cebola
1 dente de alho
1 colher de chá de azeite (5 ml)
Sal e pimenta-do-reino a gosto
Salsinha a gosto</t>
  </si>
  <si>
    <t>Cozinhe a vagem rapidamente, mantendo-a firme.
Refogue cebola e alho no azeite.
Acrescente a vagem.
Refogue por mais 2 a 3 minutos.
Finalize com salsinha.</t>
  </si>
  <si>
    <t>Vagem Refogada com Alho e Cebola servido em prato claro, porção individual bem montada, com os ingredientes principais visíveis e aparência caseira natural.</t>
  </si>
  <si>
    <t>NL-254</t>
  </si>
  <si>
    <t>Beterraba Cozida Temperada com Ervas</t>
  </si>
  <si>
    <t>150 g de beterraba cozida em cubos
1 colher de chá de azeite (5 ml)
1 colher de sopa de suco de limão
Salsinha ou cheiro-verde a gosto
Sal e pimenta-do-reino a gosto</t>
  </si>
  <si>
    <t>Cozinhe a beterraba até ficar macia.
Deixe amornar e corte em cubos.
Tempere com azeite e limão.
Ajuste sal e pimenta.
Finalize com ervas.</t>
  </si>
  <si>
    <t>Beterraba Cozida Temperada com Ervas servido em prato claro, porção individual bem montada, com os ingredientes principais visíveis e aparência caseira natural.</t>
  </si>
  <si>
    <t>NL-255</t>
  </si>
  <si>
    <t>Purê Cremoso de Mandioca</t>
  </si>
  <si>
    <t>120 g de mandioca cozida
40 ml de leite desnatado
1 colher de chá de manteiga (5 g)
Sal a gosto
Noz-moscada a gosto</t>
  </si>
  <si>
    <t>Cozinhe a mandioca até ficar bem macia.
Retire o fio central.
Amasse ainda quente.
Acrescente o leite aos poucos.
Misture a manteiga.
Tempere com sal e noz-moscada.</t>
  </si>
  <si>
    <t>Para versão sem lactose, utilizar leite e manteiga zero lactose.</t>
  </si>
  <si>
    <t>Purê Cremoso de Mandioca servido em prato claro, porção individual bem montada, com os ingredientes principais visíveis e aparência caseira natural.</t>
  </si>
  <si>
    <t>NL-256</t>
  </si>
  <si>
    <t>Purê de Inhame</t>
  </si>
  <si>
    <t>130 g de inhame cozido
40 ml de leite desnatado
1 colher de chá de azeite (5 ml)
Sal e noz-moscada a gosto</t>
  </si>
  <si>
    <t>Cozinhe o inhame até ficar bem macio.
Amasse ainda quente.
Acrescente o leite aos poucos.
Misture o azeite.
Tempere com sal e noz-moscada.</t>
  </si>
  <si>
    <t>Para versão sem lactose, utilizar leite zero lactose.</t>
  </si>
  <si>
    <t>Purê de Inhame servido em prato claro, porção individual bem montada, com os ingredientes principais visíveis e aparência caseira natural.</t>
  </si>
  <si>
    <t>NL-257</t>
  </si>
  <si>
    <t>Purê Cremoso de Couve-Flor</t>
  </si>
  <si>
    <t>Sem glúten • Vegetariano</t>
  </si>
  <si>
    <t>200 g de couve-flor
30 g de creme de ricota
1 colher de chá de azeite (5 ml)
Sal e pimenta-do-reino a gosto
Noz-moscada a gosto</t>
  </si>
  <si>
    <t>Cozinhe a couve-flor até ficar bem macia.
Escorra muito bem.
Bata ou processe com o creme de ricota.
Acrescente o azeite.
Tempere.
Leve novamente ao fogo por 2 minutos para encorpar.</t>
  </si>
  <si>
    <t>Para versão sem lactose, utilizar creme de ricota zero lactose.</t>
  </si>
  <si>
    <t>Purê Cremoso de Couve-Flor servido em prato claro, porção individual bem montada, com os ingredientes principais visíveis e aparência caseira natural.</t>
  </si>
  <si>
    <t>NL-258</t>
  </si>
  <si>
    <t>Acelga Refogada com Alho e Cebola</t>
  </si>
  <si>
    <t>180 g de acelga fatiada
20 g de cebola
1 dente de alho
1 colher de chá de azeite (5 ml)
Sal e pimenta-do-reino a gosto</t>
  </si>
  <si>
    <t>Aqueça o azeite.
Refogue cebola e alho.
Acrescente a acelga.
Refogue rapidamente, apenas até começar a murchar.
Ajuste os temperos.</t>
  </si>
  <si>
    <t>Acelga Refogada com Alho e Cebola servido em prato claro, porção individual bem montada, com os ingredientes principais visíveis e aparência caseira natural.</t>
  </si>
  <si>
    <t>NL-259</t>
  </si>
  <si>
    <t>Chicória Refogada com Alho</t>
  </si>
  <si>
    <t>150 g de chicória fatiada
1 dente de alho
1 colher de chá de azeite (5 ml)
Sal e pimenta-do-reino a gosto</t>
  </si>
  <si>
    <t>Lave e corte a chicória em tiras.
Aqueça o azeite.
Doure levemente o alho.
Acrescente a chicória.
Refogue rapidamente até murchar.
Tempere com sal e pimenta.</t>
  </si>
  <si>
    <t>Chicória Refogada com Alho servido em prato claro, porção individual bem montada, com os ingredientes principais visíveis e aparência caseira natural.</t>
  </si>
  <si>
    <t>NL-260</t>
  </si>
  <si>
    <t>Frango ao Limão com Alho e Salsinha</t>
  </si>
  <si>
    <t>120 g de peito de frango
Suco de 1/2 limão
1 dente de alho
Salsinha a gosto
Sal e pimenta-do-reino a gosto
1 colher de café de azeite (2 ml)</t>
  </si>
  <si>
    <t>Tempere o frango com limão, alho, sal e pimenta.
Aqueça uma frigideira antiaderente com o azeite.
Grelhe dos dois lados até dourar e cozinhar completamente.
Finalize com salsinha.</t>
  </si>
  <si>
    <t>Frango ao Limão com Alho e Salsinha servido em prato claro, porção individual bem montada, com os ingredientes principais visíveis e aparência caseira natural.</t>
  </si>
  <si>
    <t>NL-261</t>
  </si>
  <si>
    <t>Frango com Tomate e Manjericão</t>
  </si>
  <si>
    <t>Não informado</t>
  </si>
  <si>
    <t>120 g de peito de frango em cubos
80 g de tomate picado
20 g de cebola
Manjericão fresco a gosto
Alho, sal e pimenta a gosto
1 colher de café de azeite</t>
  </si>
  <si>
    <t>Doure o frango.
Acrescente cebola e alho.
Junte o tomate e cozinhe até começar a formar um molho.
Finalize com manjericão.</t>
  </si>
  <si>
    <t>Frango com Tomate e Manjericão servido em prato claro, porção individual bem montada, com os ingredientes principais visíveis e aparência caseira natural.</t>
  </si>
  <si>
    <t>NL-262</t>
  </si>
  <si>
    <t>Frango com Páprica e Cebola Roxa</t>
  </si>
  <si>
    <t>120 g de peito de frango em tiras
40 g de cebola roxa
Páprica doce ou defumada a gosto
Alho, sal e pimenta
1 colher de café de azeite</t>
  </si>
  <si>
    <t>Tempere o frango com páprica, alho, sal e pimenta.
Grelhe em frigideira antiaderente.
Acrescente a cebola e deixe dourar levemente.</t>
  </si>
  <si>
    <t>Frango com Páprica e Cebola Roxa servido em prato claro, porção individual bem montada, com os ingredientes principais visíveis e aparência caseira natural.</t>
  </si>
  <si>
    <t>NL-263</t>
  </si>
  <si>
    <t>Frango ao Molho de Mostarda</t>
  </si>
  <si>
    <t>120 g de peito de frango
10 g de mostarda
20 ml de água
Alho e pimenta a gosto
1 colher de café de azeite</t>
  </si>
  <si>
    <t>Grelhe o frango.
Misture mostarda e água.
Acrescente à frigideira.
Cozinhe por mais 1 a 2 minutos até envolver o frango.</t>
  </si>
  <si>
    <t>Frango ao Molho de Mostarda servido em pequena molheira clara, textura e cor naturais, acompanhado dos ingredientes que compõem a receita.</t>
  </si>
  <si>
    <t>NL-264</t>
  </si>
  <si>
    <t>Frango com Abobrinha e Ervas</t>
  </si>
  <si>
    <t>110 g de peito de frango em cubos
80 g de abobrinha
20 g de cebola
Alecrim ou orégano a gosto
1 colher de café de azeite
Sal e pimenta</t>
  </si>
  <si>
    <t>Doure o frango.
Acrescente cebola e abobrinha.
Refogue rapidamente.
Finalize com ervas.</t>
  </si>
  <si>
    <t>Frango com Abobrinha e Ervas servido em prato claro, porção individual bem montada, com os ingredientes principais visíveis e aparência caseira natural.</t>
  </si>
  <si>
    <t>NL-265</t>
  </si>
  <si>
    <t>Tilápia com Limão e Ervas</t>
  </si>
  <si>
    <t>150 g de filé de tilápia
Suco de 1/2 limão
1 colher de chá de azeite (5 ml)
Alho, sal, pimenta e ervas a gosto</t>
  </si>
  <si>
    <t>Tempere a tilápia.
Aqueça o azeite em frigideira antiaderente.
Grelhe dos dois lados até dourar.</t>
  </si>
  <si>
    <t>Tilápia com Limão e Ervas servido em prato claro, porção individual bem montada, com os ingredientes principais visíveis e aparência caseira natural.</t>
  </si>
  <si>
    <t>NL-266</t>
  </si>
  <si>
    <t>Pescada Assada com Tomate</t>
  </si>
  <si>
    <t>160 g de filé de pescada
80 g de tomate
30 g de cebola
1 colher de chá de azeite
Limão, alho, sal e orégano</t>
  </si>
  <si>
    <t>Coloque o peixe em um refratário.
Cubra com tomate e cebola.
Tempere e regue com azeite.
Asse a 200 °C por aproximadamente 20 minutos.</t>
  </si>
  <si>
    <t>Pescada Assada com Tomate servido em prato claro, porção individual bem montada, com os ingredientes principais visíveis e aparência caseira natural.</t>
  </si>
  <si>
    <t>NL-267</t>
  </si>
  <si>
    <t>Merluza com Alho e Cheiro-Verde</t>
  </si>
  <si>
    <t>170 g de filé de merluza
1 colher de chá de azeite
1 dente de alho
Cheiro-verde
Limão, sal e pimenta</t>
  </si>
  <si>
    <t>Tempere o peixe.
Grelhe com o azeite e o alho.
Finalize com cheiro-verde e limão.</t>
  </si>
  <si>
    <t>Merluza com Alho e Cheiro-Verde servido em prato claro, porção individual bem montada, com os ingredientes principais visíveis e aparência caseira natural.</t>
  </si>
  <si>
    <t>NL-268</t>
  </si>
  <si>
    <t>Linguado com Alcaparras e Limão</t>
  </si>
  <si>
    <t>160 g de filé de linguado
10 g de alcaparras
Suco de 1/2 limão
1 colher de chá de azeite
Pimenta e salsinha a gosto</t>
  </si>
  <si>
    <t>Grelhe o linguado no azeite.
Acrescente limão e alcaparras.
Cozinhe por mais 1 minuto.
Finalize com salsinha.</t>
  </si>
  <si>
    <t>Linguado com Alcaparras e Limão servido em prato claro, porção individual bem montada, com os ingredientes principais visíveis e aparência caseira natural.</t>
  </si>
  <si>
    <t>NL-269</t>
  </si>
  <si>
    <t>Atum Fresco Grelhado com Gergelim</t>
  </si>
  <si>
    <t>130 g de atum fresco
5 g de gergelim
Limão, sal e pimenta a gosto</t>
  </si>
  <si>
    <t>Tempere o atum.
Passe o gergelim sobre a superfície.
Grelhe rapidamente em frigideira bem quente.
Sirva no ponto desejado.</t>
  </si>
  <si>
    <t>Atum Fresco Grelhado com Gergelim servido em prato claro, porção individual bem montada, com os ingredientes principais visíveis e aparência caseira natural.</t>
  </si>
  <si>
    <t>NL-270</t>
  </si>
  <si>
    <t>Camarão ao Alho e Limão</t>
  </si>
  <si>
    <t>160 g de camarão limpo
1 colher de chá de azeite
1 dente de alho
Suco de 1/2 limão
Sal, pimenta e salsinha</t>
  </si>
  <si>
    <t>Aqueça o azeite e doure levemente o alho.
Acrescente o camarão.
Cozinhe rapidamente até mudar de cor.
Finalize com limão e salsinha.</t>
  </si>
  <si>
    <t>Camarão ao Alho e Limão servido em prato claro, porção individual bem montada, com os ingredientes principais visíveis e aparência caseira natural.</t>
  </si>
  <si>
    <t>NL-271</t>
  </si>
  <si>
    <t>Camarão com Tomate e Páprica</t>
  </si>
  <si>
    <t>150 g de camarão
80 g de tomate picado
20 g de cebola
1 colher de chá de azeite
Páprica, alho, sal e cheiro-verde</t>
  </si>
  <si>
    <t>Refogue cebola e alho.
Acrescente o tomate.
Junte os camarões e a páprica.
Cozinhe rapidamente.
Finalize com cheiro-verde.</t>
  </si>
  <si>
    <t>Camarão com Tomate e Páprica servido em prato claro, porção individual bem montada, com os ingredientes principais visíveis e aparência caseira natural.</t>
  </si>
  <si>
    <t>NL-272</t>
  </si>
  <si>
    <t>Lombo Suíno com Limão e Alecrim</t>
  </si>
  <si>
    <t>120 g de lombo suíno magro
Suco de 1/2 limão
Alecrim a gosto
Alho, sal e pimenta
1 colher de café de azeite</t>
  </si>
  <si>
    <t>Tempere o lombo.
Grelhe em fogo médio dos dois lados.
Finalize com limão e alecrim.</t>
  </si>
  <si>
    <t>Lombo Suíno com Limão e Alecrim servido em prato claro, porção individual bem montada, com os ingredientes principais visíveis e aparência caseira natural.</t>
  </si>
  <si>
    <t>NL-273</t>
  </si>
  <si>
    <t>Filé Mignon Suíno com Mostarda e Ervas</t>
  </si>
  <si>
    <t>120 g de filé mignon suíno
10 g de mostarda
Ervas secas a gosto
Alho, sal e pimenta</t>
  </si>
  <si>
    <t>Tempere a carne.
Grelhe em frigideira antiaderente.
Acrescente a mostarda diluída em uma colher de sopa de água.
Envolva a carne no molho.</t>
  </si>
  <si>
    <t>Filé Mignon Suíno com Mostarda e Ervas servido em prato claro, porção individual bem montada, com os ingredientes principais visíveis e aparência caseira natural.</t>
  </si>
  <si>
    <t>NL-274</t>
  </si>
  <si>
    <t>Patinho em Tiras com Cebola</t>
  </si>
  <si>
    <t>100 g de patinho em tiras
40 g de cebola
Alho, sal e pimenta
Salsinha a gosto</t>
  </si>
  <si>
    <t>Aqueça bem uma frigideira antiaderente.
Doure a carne sem acrescentar óleo.
Acrescente a cebola e o alho.
Finalize com salsinha.</t>
  </si>
  <si>
    <t>Patinho em Tiras com Cebola servido em prato claro, porção individual bem montada, com os ingredientes principais visíveis e aparência caseira natural.</t>
  </si>
  <si>
    <t>NL-275</t>
  </si>
  <si>
    <t>Patinho Moído com Tomate e Abobrinha</t>
  </si>
  <si>
    <t>100 g de patinho moído
70 g de abobrinha
60 g de tomate
20 g de cebola
Alho, sal, pimenta e cheiro-verde</t>
  </si>
  <si>
    <t>Doure o patinho em uma panela antiaderente.
Acrescente cebola e alho.
Junte abobrinha e tomate.
Cozinhe até os legumes ficarem macios.
Finalize com cheiro-verde.</t>
  </si>
  <si>
    <t>Patinho Moído com Tomate e Abobrinha servido em prato claro, porção individual bem montada, com os ingredientes principais visíveis e aparência caseira natural.</t>
  </si>
  <si>
    <t>NL-276</t>
  </si>
  <si>
    <t>Rosbife de Patinho com Ervas</t>
  </si>
  <si>
    <t>100 g de patinho em peça ou bife alto
Alho
Alecrim
Pimenta-do-reino
Sal</t>
  </si>
  <si>
    <t>Tempere a carne.
Sele todos os lados em frigideira antiaderente bem quente.
Termine o cozimento no forno, se necessário.
Deixe descansar por alguns minutos.
Corte em fatias finas.</t>
  </si>
  <si>
    <t>Rosbife de Patinho com Ervas servido em prato claro, porção individual bem montada, com os ingredientes principais visíveis e aparência caseira natural.</t>
  </si>
  <si>
    <t>NL-277</t>
  </si>
  <si>
    <t>Omelete de Claras com Atum</t>
  </si>
  <si>
    <t>4 claras de ovo (aproximadamente 120 g)
80 g de atum em água escorrido
50 g de tomate
Cebolinha, sal e pimenta a gosto</t>
  </si>
  <si>
    <t>Bata ligeiramente as claras.
Coloque em frigideira antiaderente.
Acrescente o atum e o tomate.
Dobre a omelete.
Finalize com cebolinha.</t>
  </si>
  <si>
    <t>Omelete de Claras com Atum servido em prato claro, porção individual bem montada, com os ingredientes principais visíveis e aparência caseira natural.</t>
  </si>
  <si>
    <t>NL-278</t>
  </si>
  <si>
    <t>Omelete de Claras com Frango e Espinafre</t>
  </si>
  <si>
    <t>4 claras
70 g de frango desfiado
50 g de espinafre
40 g de tomate
Sal e pimenta a gosto</t>
  </si>
  <si>
    <t>Refogue rapidamente o espinafre em frigideira antiaderente.
Acrescente as claras.
Distribua o frango e o tomate.
Cozinhe em fogo baixo.
Dobre e sirva.</t>
  </si>
  <si>
    <t>Omelete de Claras com Frango e Espinafre servido em prato claro, porção individual bem montada, com os ingredientes principais visíveis e aparência caseira natural.</t>
  </si>
  <si>
    <t>NL-279</t>
  </si>
  <si>
    <t>Bacalhau Desfiado com Tomate e Cebola</t>
  </si>
  <si>
    <t>130 g de bacalhau dessalgado e desfiado
70 g de tomate
40 g de cebola
1 colher de chá de azeite
Salsinha e pimenta-do-reino a gosto</t>
  </si>
  <si>
    <t>Refogue a cebola no azeite.
Acrescente o bacalhau.
Junte o tomate.
Cozinhe por alguns minutos.
Finalize com salsinha.</t>
  </si>
  <si>
    <t>Bacalhau Desfiado com Tomate e Cebola servido em prato claro, porção individual bem montada, com os ingredientes principais visíveis e aparência caseira natural.</t>
  </si>
  <si>
    <t>NL-280</t>
  </si>
  <si>
    <t>Salada Caprese com Manjericão</t>
  </si>
  <si>
    <t>Vegetariano • Sem glúten</t>
  </si>
  <si>
    <t>120 g de tomate em rodelas
60 g de muçarela de búfala
Folhas de manjericão a gosto
1 colher de chá de azeite (5 ml)
Sal e pimenta-do-reino a gosto</t>
  </si>
  <si>
    <t>Intercale as rodelas de tomate e a muçarela.
Distribua as folhas de manjericão.
Regue com azeite.
Tempere com sal e pimenta.
Sirva fria.</t>
  </si>
  <si>
    <t>Salada Caprese com Manjericão montada em prato raso claro, ingredientes frescos bem distribuídos e apresentação colorida e natural.</t>
  </si>
  <si>
    <t>NL-281</t>
  </si>
  <si>
    <t>Salada de Palmito, Tomate e Pepino</t>
  </si>
  <si>
    <t>100 g de palmito em rodelas
80 g de tomate
70 g de pepino
20 g de cebola roxa
1 colher de chá de azeite
Limão, sal e cheiro-verde a gosto</t>
  </si>
  <si>
    <t>Corte os vegetais.
Misture com o palmito.
Tempere com azeite e limão.
Finalize com cheiro-verde.
Mantenha refrigerada até servir.</t>
  </si>
  <si>
    <t>Salada de Palmito, Tomate e Pepino montada em prato raso claro, ingredientes frescos bem distribuídos e apresentação colorida e natural.</t>
  </si>
  <si>
    <t>NL-282</t>
  </si>
  <si>
    <t>Salada de Alface, Abacate e Tomate-Cereja</t>
  </si>
  <si>
    <t>60 g de alface
70 g de abacate
80 g de tomate-cereja
50 g de pepino
1 colher de sopa de suco de limão
Sal e pimenta a gosto</t>
  </si>
  <si>
    <t>Distribua as folhas em uma tigela.
Acrescente tomate e pepino.
Corte o abacate em cubos e adicione por último.
Tempere com limão, sal e pimenta.</t>
  </si>
  <si>
    <t>Salada de Alface, Abacate e Tomate-Cereja montada em prato raso claro, ingredientes frescos bem distribuídos e apresentação colorida e natural.</t>
  </si>
  <si>
    <t>NL-283</t>
  </si>
  <si>
    <t>Salada de Rabanete, Pepino e Folhas Verdes</t>
  </si>
  <si>
    <t>50 g de alface
50 g de rúcula
60 g de rabanete em rodelas finas
60 g de pepino
1 colher de chá de azeite
Limão, sal e pimenta a gosto</t>
  </si>
  <si>
    <t>Higienize e seque as folhas.
Acrescente o rabanete e o pepino.
Tempere com azeite e limão.
Sirva imediatamente.</t>
  </si>
  <si>
    <t>Salada de Rabanete, Pepino e Folhas Verdes montada em prato raso claro, ingredientes frescos bem distribuídos e apresentação colorida e natural.</t>
  </si>
  <si>
    <t>NL-284</t>
  </si>
  <si>
    <t>Salada de Grão-de-Bico com Pepino e Salsa</t>
  </si>
  <si>
    <t>100 g de grão-de-bico cozido e frio
70 g de pepino
70 g de tomate
20 g de cebola roxa
Salsinha a gosto
1 colher de chá de azeite
Limão, sal e pimenta a gosto</t>
  </si>
  <si>
    <t>Misture o grão-de-bico com os vegetais.
Acrescente a salsinha.
Tempere com azeite e limão.
Leve à geladeira até servir.</t>
  </si>
  <si>
    <t>Salada de Grão-de-Bico com Pepino e Salsa montada em prato raso claro, ingredientes frescos bem distribuídos e apresentação colorida e natural.</t>
  </si>
  <si>
    <t>NL-285</t>
  </si>
  <si>
    <t>Salada de Folhas com Figo e Nozes</t>
  </si>
  <si>
    <t>50 g de folhas verdes variadas
2 figos frescos pequenos (80 g)
15 g de nozes picadas
30 g de queijo minas
1 colher de chá de azeite
1 colher de chá de vinagre balsâmico</t>
  </si>
  <si>
    <t>Disponha as folhas no prato.
Corte os figos em quatro partes.
Acrescente o queijo e as nozes.
Regue com azeite e balsâmico.</t>
  </si>
  <si>
    <t>Salada de Folhas com Figo e Nozes montada em prato raso claro, ingredientes frescos bem distribuídos e apresentação colorida e natural.</t>
  </si>
  <si>
    <t>NL-286</t>
  </si>
  <si>
    <t>Salada de Couve Crua com Abacaxi e Cenoura</t>
  </si>
  <si>
    <t>70 g de couve fatiada bem fina
80 g de abacaxi em cubos
50 g de cenoura ralada
1 colher de chá de azeite
Limão e sal a gosto</t>
  </si>
  <si>
    <t>Massageie rapidamente a couve com algumas gotas de limão.
Acrescente cenoura e abacaxi.
Regue com azeite.
Ajuste o sal e misture.</t>
  </si>
  <si>
    <t>Salada de Couve Crua com Abacaxi e Cenoura montada em prato raso claro, ingredientes frescos bem distribuídos e apresentação colorida e natural.</t>
  </si>
  <si>
    <t>NL-287</t>
  </si>
  <si>
    <t>Salada de Alface com Palmito, Azeitona e Tomate-Cereja</t>
  </si>
  <si>
    <t>60 g de alface
80 g de palmito
70 g de tomate-cereja
20 g de azeitonas fatiadas
20 g de cebola roxa
1 colher de chá de azeite
Vinagre, sal e orégano a gosto</t>
  </si>
  <si>
    <t>Distribua as folhas.
Acrescente palmito, tomate, azeitona e cebola.
Tempere com azeite e vinagre.
Finalize com orégano.</t>
  </si>
  <si>
    <t>Salada de Alface com Palmito, Azeitona e Tomate-Cereja montada em prato raso claro, ingredientes frescos bem distribuídos e apresentação colorida e natural.</t>
  </si>
  <si>
    <t>NL-288</t>
  </si>
  <si>
    <t>Salada de Quinoa com Tomate, Pepino e Hortelã</t>
  </si>
  <si>
    <t>100 g de quinoa cozida e fria
70 g de tomate
60 g de pepino
20 g de cebola roxa
Hortelã e salsinha a gosto
1 colher de chá de azeite
Limão, sal e pimenta a gosto</t>
  </si>
  <si>
    <t>Deixe a quinoa esfriar completamente.
Misture com tomate, pepino e cebola.
Acrescente as ervas.
Tempere com azeite e limão.</t>
  </si>
  <si>
    <t>Salada de Quinoa com Tomate, Pepino e Hortelã montada em prato raso claro, ingredientes frescos bem distribuídos e apresentação colorida e natural.</t>
  </si>
  <si>
    <t>NL-289</t>
  </si>
  <si>
    <t>Salada de Agrião com Laranja e Amêndoas</t>
  </si>
  <si>
    <t>60 g de agrião
100 g de laranja em gomos
15 g de amêndoas em lascas
30 g de cebola roxa
1 colher de chá de azeite
Sal e pimenta-do-reino a gosto</t>
  </si>
  <si>
    <t>Disponha o agrião no prato.
Acrescente os gomos de laranja.
Junte cebola e amêndoas.
Regue com azeite.
Tempere e sirva fria.</t>
  </si>
  <si>
    <t>Salada de Agrião com Laranja e Amêndoas montada em prato raso claro, ingredientes frescos bem distribuídos e apresentação colorida e natural.</t>
  </si>
  <si>
    <t>NL-290</t>
  </si>
  <si>
    <t>Salada de Alface, Uva e Castanha-do-Pará</t>
  </si>
  <si>
    <t>Vegano • Sem glúten • Sem lactose</t>
  </si>
  <si>
    <t>60 g de alface
80 g de uvas cortadas ao meio
15 g de castanha-do-pará picada
50 g de pepino
1 colher de chá de azeite
Limão e sal a gosto</t>
  </si>
  <si>
    <t>Disponha as folhas.
Acrescente uva e pepino.
Finalize com castanhas.
Tempere com azeite e limão.</t>
  </si>
  <si>
    <t>Salada de Alface, Uva e Castanha-do-Pará montada em prato raso claro, ingredientes frescos bem distribuídos e apresentação colorida e natural.</t>
  </si>
  <si>
    <t>NL-291</t>
  </si>
  <si>
    <t>Salada de Repolho Roxo com Abacaxi e Hortelã</t>
  </si>
  <si>
    <t>100 g de repolho roxo fatiado fino
80 g de abacaxi em cubos
30 g de cebola roxa
Hortelã a gosto
1 colher de chá de azeite
Limão e sal a gosto</t>
  </si>
  <si>
    <t>Fatie o repolho bem fino.
Acrescente o abacaxi e a cebola.
Tempere com azeite e limão.
Finalize com hortelã.
Sirva gelada.</t>
  </si>
  <si>
    <t>Salada de Repolho Roxo com Abacaxi e Hortelã montada em prato raso claro, ingredientes frescos bem distribuídos e apresentação colorida e natural.</t>
  </si>
  <si>
    <t>NL-292</t>
  </si>
  <si>
    <t>Salada de Endívia com Maçã Verde e Nozes</t>
  </si>
  <si>
    <t>80 g de endívia
100 g de maçã verde
15 g de nozes
30 g de pepino
1 colher de chá de azeite
Limão, sal e pimenta a gosto</t>
  </si>
  <si>
    <t>Corte a maçã em fatias finas.
Misture com a endívia e o pepino.
Acrescente as nozes.
Tempere com azeite e limão.</t>
  </si>
  <si>
    <t>Salada de Endívia com Maçã Verde e Nozes montada em prato raso claro, ingredientes frescos bem distribuídos e apresentação colorida e natural.</t>
  </si>
  <si>
    <t>NL-293</t>
  </si>
  <si>
    <t>Salada de Rúcula com Pêssego e Queijo Minas</t>
  </si>
  <si>
    <t>60 g de rúcula
100 g de pêssego em fatias
50 g de queijo minas em cubos
10 g de sementes de girassol
1 colher de chá de azeite
Vinagre balsâmico a gosto</t>
  </si>
  <si>
    <t>Coloque a rúcula no prato.
Acrescente o pêssego e o queijo.
Finalize com as sementes.
Regue com azeite e balsâmico.</t>
  </si>
  <si>
    <t>Salada de Rúcula com Pêssego e Queijo Minas montada em prato raso claro, ingredientes frescos bem distribuídos e apresentação colorida e natural.</t>
  </si>
  <si>
    <t>NL-294</t>
  </si>
  <si>
    <t>Salada de Pepino, Abacate e Tomate com Coentro</t>
  </si>
  <si>
    <t>80 g de pepino
70 g de abacate
80 g de tomate
20 g de cebola roxa
Coentro ou cheiro-verde a gosto
Suco de limão
Sal e pimenta a gosto</t>
  </si>
  <si>
    <t>Corte pepino, tomate e abacate em cubos.
Acrescente a cebola.
Tempere com limão, sal e pimenta.
Finalize com coentro ou cheiro-verde.
Sirva imediatamente.</t>
  </si>
  <si>
    <t>Salada de Pepino, Abacate e Tomate com Coentro montada em prato raso claro, ingredientes frescos bem distribuídos e apresentação colorida e natural.</t>
  </si>
  <si>
    <t>NL-295</t>
  </si>
  <si>
    <t>Molho Cremoso de Limão e Ricota</t>
  </si>
  <si>
    <t>40 g de ricota
30 ml de água
1 colher de sopa de suco de limão
1 colher de chá de azeite
Sal e pimenta-do-reino a gosto</t>
  </si>
  <si>
    <t>Amasse bem a ricota.
Misture com a água e o limão.
Acrescente o azeite.
Tempere e misture até formar um molho cremoso.</t>
  </si>
  <si>
    <t>Molho Cremoso de Limão e Ricota servido em pequena molheira clara, textura e cor naturais, acompanhado dos ingredientes que compõem a receita.</t>
  </si>
  <si>
    <t>NL-296</t>
  </si>
  <si>
    <t>Vitamina Proteica de Banana com Canela</t>
  </si>
  <si>
    <t>1 banana pequena (80 g)
30 g de whey protein sabor baunilha
200 ml de leite desnatado
Canela a gosto
Gelo a gosto</t>
  </si>
  <si>
    <t>Coloque todos os ingredientes no liquidificador.
Bata até ficar homogêneo e cremoso.
Sirva imediatamente.</t>
  </si>
  <si>
    <t>Para versão sem lactose, utilize leite e whey zero lactose.</t>
  </si>
  <si>
    <t>Vitamina Proteica de Banana com Canela servido em copo alto transparente, bebida fresca e homogênea, com guarnição discreta dos ingredientes principais.</t>
  </si>
  <si>
    <t>NL-297</t>
  </si>
  <si>
    <t>Vitamina Proteica de Mamão com Aveia</t>
  </si>
  <si>
    <t>120 g de mamão
30 g de whey protein sabor baunilha
200 ml de leite desnatado
15 g de aveia em flocos
Canela a gosto
Gelo a gosto</t>
  </si>
  <si>
    <t>Bata o mamão com o leite e o whey.
Acrescente a aveia.
Bata novamente até ficar cremoso.
Finalize com canela.</t>
  </si>
  <si>
    <t>Vitamina Proteica de Mamão com Aveia servido em copo alto transparente, bebida fresca e homogênea, com guarnição discreta dos ingredientes principais.</t>
  </si>
  <si>
    <t>NL-298</t>
  </si>
  <si>
    <t>Vitamina de Manga com Whey e Iogurte</t>
  </si>
  <si>
    <t>100 g de manga
30 g de whey protein sabor baunilha
120 g de iogurte natural
80 ml de água gelada
Gelo a gosto</t>
  </si>
  <si>
    <t>Coloque todos os ingredientes no liquidificador.
Bata até obter uma vitamina espessa e cremosa.
Sirva gelada.</t>
  </si>
  <si>
    <t>Use iogurte e whey zero lactose para versão sem lactose.</t>
  </si>
  <si>
    <t>Vitamina de Manga com Whey e Iogurte servido em copo alto transparente, bebida fresca e homogênea, com guarnição discreta dos ingredientes principais.</t>
  </si>
  <si>
    <t>NL-299</t>
  </si>
  <si>
    <t>Vitamina Proteica de Abacaxi com Coco</t>
  </si>
  <si>
    <t>100 g de abacaxi
30 g de whey protein zero lactose sabor baunilha
180 ml de leite desnatado zero lactose
10 g de coco ralado sem açúcar
Gelo a gosto</t>
  </si>
  <si>
    <t>Bata o abacaxi com o leite e o whey.
Acrescente o coco ralado.
Bata rapidamente.
Sirva bem gelada.</t>
  </si>
  <si>
    <t>Vitamina Proteica de Abacaxi com Coco servido em copo alto transparente, bebida fresca e homogênea, com guarnição discreta dos ingredientes principais.</t>
  </si>
  <si>
    <t>NL-300</t>
  </si>
  <si>
    <t>Vitamina de Maçã com Canela e Whey</t>
  </si>
  <si>
    <t>1 maçã pequena com casca (100 g)
30 g de whey protein sabor baunilha
200 ml de leite desnatado
Canela a gosto
Gelo a gosto</t>
  </si>
  <si>
    <t>Corte a maçã em pedaços e retire as sementes.
Bata com o leite e o whey.
Acrescente canela e gelo.
Bata até ficar homogêneo.</t>
  </si>
  <si>
    <t>Vitamina de Maçã com Canela e Whey servido em copo alto transparente, bebida fresca e homogênea, com guarnição discreta dos ingredientes principais.</t>
  </si>
  <si>
    <t>NL-301</t>
  </si>
  <si>
    <t>Vitamina Proteica de Cacau com Banana</t>
  </si>
  <si>
    <t>70 g de banana
30 g de whey protein sabor chocolate
200 ml de leite desnatado
5 g de cacau em pó 100%
Gelo a gosto</t>
  </si>
  <si>
    <t>Coloque todos os ingredientes no liquidificador.
Bata até ficar bem cremoso.
Sirva imediatamente.</t>
  </si>
  <si>
    <t>Vitamina Proteica de Cacau com Banana servido em copo alto transparente, bebida fresca e homogênea, com guarnição discreta dos ingredientes principais.</t>
  </si>
  <si>
    <t>NL-302</t>
  </si>
  <si>
    <t>Vitamina de Pêssego com Whey e Iogurte</t>
  </si>
  <si>
    <t>120 g de pêssego fresco
30 g de whey protein sabor baunilha
120 g de iogurte natural
80 ml de água
Gelo a gosto</t>
  </si>
  <si>
    <t>Bata o pêssego com o iogurte.
Acrescente o whey e a água.
Bata novamente.
Sirva gelado.</t>
  </si>
  <si>
    <t>Vitamina de Pêssego com Whey e Iogurte servido em copo alto transparente, bebida fresca e homogênea, com guarnição discreta dos ingredientes principais.</t>
  </si>
  <si>
    <t>NL-303</t>
  </si>
  <si>
    <t>Vitamina Proteica de Maracujá</t>
  </si>
  <si>
    <t>70 g de polpa de maracujá
30 g de whey protein zero lactose sabor baunilha
200 ml de leite desnatado zero lactose
Adoçante a gosto, opcional
Gelo a gosto</t>
  </si>
  <si>
    <t>Bata rapidamente a polpa de maracujá com o leite.
Acrescente o whey.
Bata novamente até ficar cremoso.
Se desejar uma bebida sem sementes, coe a polpa antes de bater com os demais ingredientes.</t>
  </si>
  <si>
    <t>Vitamina Proteica de Maracujá servido em copo alto transparente, bebida fresca e homogênea, com guarnição discreta dos ingredientes principais.</t>
  </si>
  <si>
    <t>NL-304</t>
  </si>
  <si>
    <t>Vitamina de Uva com Whey e Iogurte</t>
  </si>
  <si>
    <t>100 g de uvas sem sementes
30 g de whey protein sabor baunilha
120 g de iogurte natural
80 ml de água gelada
Gelo a gosto</t>
  </si>
  <si>
    <t>Bata as uvas com o iogurte e a água.
Acrescente o whey.
Bata até ficar homogêneo.
Sirva bem gelado.</t>
  </si>
  <si>
    <t>Vitamina de Uva com Whey e Iogurte servido em copo alto transparente, bebida fresca e homogênea, com guarnição discreta dos ingredientes principais.</t>
  </si>
  <si>
    <t>NL-305</t>
  </si>
  <si>
    <t>Vitamina Proteica de Pera com Canela</t>
  </si>
  <si>
    <t>1 pera pequena com casca (100 g)
30 g de whey protein sabor baunilha
200 ml de leite desnatado
Canela a gosto
Gelo a gosto</t>
  </si>
  <si>
    <t>Corte a pera e retire apenas as sementes.
Bata com o leite e o whey.
Acrescente canela e gelo.
Bata até ficar bem cremoso.</t>
  </si>
  <si>
    <t>Vitamina Proteica de Pera com Canela servido em copo alto transparente, bebida fresca e homogênea, com guarnição discreta dos ingredientes principais.</t>
  </si>
  <si>
    <t>NL-306</t>
  </si>
  <si>
    <t>Mingau Proteico de Morango com Whey</t>
  </si>
  <si>
    <t>200 ml de leite desnatado
30 g de aveia em flocos
30 g de whey protein sabor baunilha
100 g de morangos picados
Canela a gosto</t>
  </si>
  <si>
    <t>Aqueça o leite com a aveia em fogo baixo.
Mexa até engrossar.
Desligue o fogo e espere cerca de 1 minuto.
Acrescente o whey e misture bem.
Finalize com os morangos.</t>
  </si>
  <si>
    <t>Mingau Proteico de Morango com Whey servido em tigela clara, textura cremosa e acabamento com ervas ou ingrediente principal aparente.</t>
  </si>
  <si>
    <t>NL-307</t>
  </si>
  <si>
    <t>Mingau de Paçoca com Whey</t>
  </si>
  <si>
    <t>200 ml de leite desnatado
25 g de aveia
30 g de whey protein sabor baunilha
10 g de pasta de amendoim
5 g de amendoim torrado sem sal, picado
Canela a gosto</t>
  </si>
  <si>
    <t>Cozinhe o leite com a aveia até engrossar.
Retire do fogo.
Misture o whey e a pasta de amendoim.
Finalize com o amendoim picado e canela.</t>
  </si>
  <si>
    <t>Mingau de Paçoca com Whey servido em tigela clara, textura cremosa e acabamento com ervas ou ingrediente principal aparente.</t>
  </si>
  <si>
    <t>NL-308</t>
  </si>
  <si>
    <t>Mingau de Pera com Aveia e Chia</t>
  </si>
  <si>
    <t>200 ml de leite
30 g de aveia em flocos
100 g de pera com casca em cubos
10 g de chia
Canela a gosto</t>
  </si>
  <si>
    <t>Coloque o leite, a aveia e metade da pera em uma panela.
Cozinhe em fogo baixo até engrossar.
Acrescente a chia e misture.
Finalize com o restante da pera e canela.</t>
  </si>
  <si>
    <t>Mingau de Pera com Aveia e Chia servido em tigela clara, textura cremosa e acabamento com ervas ou ingrediente principal aparente.</t>
  </si>
  <si>
    <t>NL-309</t>
  </si>
  <si>
    <t>Mingau Proteico de Coco com Whey</t>
  </si>
  <si>
    <t>200 ml de leite
25 g de aveia sem glúten
30 g de whey protein sabor baunilha
10 g de coco seco ralado sem açúcar
Canela a gosto</t>
  </si>
  <si>
    <t>Cozinhe o leite com a aveia.
Quando atingir consistência cremosa, desligue o fogo.
Misture o whey.
Finalize com coco ralado e canela.</t>
  </si>
  <si>
    <t>Mingau Proteico de Coco com Whey servido em tigela clara, textura cremosa e acabamento com ervas ou ingrediente principal aparente.</t>
  </si>
  <si>
    <t>NL-310</t>
  </si>
  <si>
    <t>Mingau de Milho com Canela</t>
  </si>
  <si>
    <t>200 ml de leite
25 g de fubá fino
100 ml de água
10 g de leite em pó
Adoçante culinário a gosto
Canela em pó a gosto</t>
  </si>
  <si>
    <t>Dissolva o fubá na água fria.
Acrescente o leite.
Leve ao fogo baixo, mexendo sempre.
Quando engrossar, misture o leite em pó e o adoçante.
Finalize com canela.</t>
  </si>
  <si>
    <t>Mingau de Milho com Canela servido em tigela clara, textura cremosa e acabamento com ervas ou ingrediente principal aparente.</t>
  </si>
  <si>
    <t>NL-311</t>
  </si>
  <si>
    <t>Mingau de Aveia com Abacaxi e Canela</t>
  </si>
  <si>
    <t>200 ml de leite
30 g de aveia
100 g de abacaxi em cubos
Canela a gosto
Adoçante opcional</t>
  </si>
  <si>
    <t>Cozinhe o abacaxi por 2 a 3 minutos em uma panela.
Acrescente o leite e a aveia.
Cozinhe em fogo baixo até engrossar.
Finalize com canela.</t>
  </si>
  <si>
    <t>Mingau de Aveia com Abacaxi e Canela servido em tigela clara, textura cremosa e acabamento com ervas ou ingrediente principal aparente.</t>
  </si>
  <si>
    <t>NL-312</t>
  </si>
  <si>
    <t>Mingau Proteico de Doce de Leite</t>
  </si>
  <si>
    <t>200 ml de leite desnatado
25 g de aveia
30 g de whey protein sabor baunilha
15 g de doce de leite
Canela a gosto</t>
  </si>
  <si>
    <t>Cozinhe o leite com a aveia.
Retire do fogo quando estiver cremoso.
Misture o whey.
Finalize com o doce de leite e uma pitada de canela.</t>
  </si>
  <si>
    <t>Mingau Proteico de Doce de Leite servido em tigela clara, textura cremosa e acabamento com ervas ou ingrediente principal aparente.</t>
  </si>
  <si>
    <t>NL-313</t>
  </si>
  <si>
    <t>Mingau de Ameixa com Chia</t>
  </si>
  <si>
    <t>200 ml de leite
30 g de aveia
3 ameixas secas picadas (30 g)
10 g de chia
Canela a gosto</t>
  </si>
  <si>
    <t>Coloque o leite, a aveia e as ameixas na panela.
Cozinhe em fogo baixo, mexendo.
Quando engrossar, acrescente a chia.
Finalize com canela.</t>
  </si>
  <si>
    <t>Mingau de Ameixa com Chia servido em tigela clara, textura cremosa e acabamento com ervas ou ingrediente principal aparente.</t>
  </si>
  <si>
    <t>NL-314</t>
  </si>
  <si>
    <t>Mingau Proteico de Chocolate com Pasta de Amendoim</t>
  </si>
  <si>
    <t>200 ml de leite desnatado
25 g de aveia
30 g de whey protein sabor chocolate
10 g de cacau em pó
10 g de pasta de amendoim</t>
  </si>
  <si>
    <t>Cozinhe o leite com a aveia e o cacau.
Quando engrossar, desligue o fogo.
Acrescente o whey e misture.
Finalize com a pasta de amendoim.</t>
  </si>
  <si>
    <t>Mingau Proteico de Chocolate com Pasta de Amendoim servido em tigela clara, textura cremosa e acabamento com ervas ou ingrediente principal aparente.</t>
  </si>
  <si>
    <t>NL-315</t>
  </si>
  <si>
    <t>Mingau de Aveia com Uva-Passa e Castanhas</t>
  </si>
  <si>
    <t>200 ml de leite
30 g de aveia
15 g de uva-passa
10 g de castanhas picadas
Canela a gosto</t>
  </si>
  <si>
    <t>Cozinhe o leite com a aveia em fogo baixo.
Acrescente a uva-passa e continue mexendo.
Quando estiver cremoso, desligue o fogo.
Finalize com castanhas e canela.</t>
  </si>
  <si>
    <t>Mingau de Aveia com Uva-Passa e Castanhas servido em tigela clara, textura cremosa e acabamento com ervas ou ingrediente principal aparente.</t>
  </si>
  <si>
    <t>NL-316</t>
  </si>
  <si>
    <t>Batata Rústica com Páprica e Alecrim</t>
  </si>
  <si>
    <t>150 g de batata com casca em gomos
1 colher de chá de azeite (5 ml)
Páprica doce ou defumada a gosto
Alecrim, sal e pimenta-do-reino a gosto</t>
  </si>
  <si>
    <t>Corte a batata em gomos.
Misture com azeite e temperos.
Distribua na airfryer ou assadeira sem sobrepor.
Asse a 200 °C por aproximadamente 20 a 25 minutos, virando na metade do tempo.</t>
  </si>
  <si>
    <t>Batata Rústica com Páprica e Alecrim servido em prato claro, porção individual bem montada, com os ingredientes principais visíveis e aparência caseira natural.</t>
  </si>
  <si>
    <t>NL-317</t>
  </si>
  <si>
    <t>Batata-Doce Assada com Canela e Páprica</t>
  </si>
  <si>
    <t>150 g de batata-doce em cubos
1 colher de chá de azeite
Páprica, canela, sal e pimenta-do-reino a gosto</t>
  </si>
  <si>
    <t>Misture a batata com os temperos e o azeite.
Leve à airfryer ou forno a 200 °C.
Asse por aproximadamente 20 minutos ou até dourar.</t>
  </si>
  <si>
    <t>Batata-Doce Assada com Canela e Páprica servido em prato claro, porção individual bem montada, com os ingredientes principais visíveis e aparência caseira natural.</t>
  </si>
  <si>
    <t>NL-318</t>
  </si>
  <si>
    <t>Batata Bolinha com Alho e Salsinha</t>
  </si>
  <si>
    <t>150 g de batata bolinha
1 colher de chá de azeite
1 dente de alho
Salsinha, sal e pimenta a gosto</t>
  </si>
  <si>
    <t>Cozinhe as batatas até ficarem macias.
Corte ao meio.
Doure rapidamente no azeite com alho.
Finalize com salsinha.</t>
  </si>
  <si>
    <t>Batata Bolinha com Alho e Salsinha servido em prato claro, porção individual bem montada, com os ingredientes principais visíveis e aparência caseira natural.</t>
  </si>
  <si>
    <t>NL-319</t>
  </si>
  <si>
    <t>Polenta Cremosa com Ervas</t>
  </si>
  <si>
    <t>30 g de fubá
200 ml de água
10 g de parmesão ralado
1 colher de chá de azeite
Sal, pimenta e ervas a gosto</t>
  </si>
  <si>
    <t>Dissolva o fubá em parte da água fria.
Leve ao fogo com o restante da água.
Mexa até engrossar.
Acrescente parmesão e azeite.
Finalize com ervas.</t>
  </si>
  <si>
    <t>Polenta Cremosa com Ervas servido em prato claro, porção individual bem montada, com os ingredientes principais visíveis e aparência caseira natural.</t>
  </si>
  <si>
    <t>NL-320</t>
  </si>
  <si>
    <t>Cuscuz Temperado com Tomate e Cheiro-Verde</t>
  </si>
  <si>
    <t>50 g de flocão de milho
60 ml de água
50 g de tomate picado
20 g de cebola
1 colher de chá de azeite
Cheiro-verde e sal a gosto</t>
  </si>
  <si>
    <t>Hidrate o flocão e deixe descansar por 5 minutos.
Cozinhe na cuscuzeira.
Refogue rapidamente cebola e tomate.
Misture ao cuscuz.
Finalize com cheiro-verde.</t>
  </si>
  <si>
    <t>Cuscuz Temperado com Tomate e Cheiro-Verde servido em prato claro, porção individual bem montada, com os ingredientes principais visíveis e aparência caseira natural.</t>
  </si>
  <si>
    <t>NL-321</t>
  </si>
  <si>
    <t>Quinoa com Cenoura e Ervas</t>
  </si>
  <si>
    <t>100 g de quinoa cozida
50 g de cenoura ralada
30 g de tomate
1 colher de chá de azeite
Salsinha e cebolinha a gosto
Sal e pimenta a gosto</t>
  </si>
  <si>
    <t>Misture a quinoa já cozida com a cenoura e o tomate.
Acrescente o azeite.
Tempere.
Finalize com bastante cheiro-verde.</t>
  </si>
  <si>
    <t>Quinoa com Cenoura e Ervas servido em prato claro, porção individual bem montada, com os ingredientes principais visíveis e aparência caseira natural.</t>
  </si>
  <si>
    <t>NL-322</t>
  </si>
  <si>
    <t>Quinoa com Abobrinha e Limão</t>
  </si>
  <si>
    <t>100 g de quinoa cozida
80 g de abobrinha em cubinhos
1 colher de chá de azeite
Suco de limão a gosto
Salsinha, sal e pimenta a gosto</t>
  </si>
  <si>
    <t>Refogue rapidamente a abobrinha no azeite.
Acrescente a quinoa.
Misture por 1 a 2 minutos.
Desligue o fogo e finalize com limão e salsinha.</t>
  </si>
  <si>
    <t>Quinoa com Abobrinha e Limão servido em prato claro, porção individual bem montada, com os ingredientes principais visíveis e aparência caseira natural.</t>
  </si>
  <si>
    <t>NL-323</t>
  </si>
  <si>
    <t>Farofa Leve de Cenoura e Cebola</t>
  </si>
  <si>
    <t>25 g de farinha de mandioca
60 g de cenoura ralada
30 g de cebola
1 colher de chá de azeite
Cheiro-verde, sal e pimenta a gosto</t>
  </si>
  <si>
    <t>Refogue a cebola no azeite.
Acrescente a cenoura.
Junte a farinha aos poucos.
Misture em fogo baixo até ficar levemente crocante.
Finalize com cheiro-verde.</t>
  </si>
  <si>
    <t>Farofa Leve de Cenoura e Cebola servido em prato claro, porção individual bem montada, com os ingredientes principais visíveis e aparência caseira natural.</t>
  </si>
  <si>
    <t>NL-324</t>
  </si>
  <si>
    <t>Farofa de Couve com Alho</t>
  </si>
  <si>
    <t>25 g de farinha de mandioca
60 g de couve fatiada
1 dente de alho
1 colher de chá de azeite
Sal e pimenta a gosto</t>
  </si>
  <si>
    <t>Doure levemente o alho no azeite.
Acrescente a couve.
Junte a farinha de mandioca.
Misture por alguns minutos e tempere.</t>
  </si>
  <si>
    <t>Farofa de Couve com Alho servido em prato claro, porção individual bem montada, com os ingredientes principais visíveis e aparência caseira natural.</t>
  </si>
  <si>
    <t>NL-325</t>
  </si>
  <si>
    <t>Farofa de Banana com Cebola</t>
  </si>
  <si>
    <t>25 g de farinha de mandioca
60 g de banana em cubos
30 g de cebola
1 colher de chá de azeite
Sal e cheiro-verde a gosto</t>
  </si>
  <si>
    <t>Doure a cebola no azeite.
Acrescente a banana e mexa delicadamente.
Junte a farinha.
Misture rapidamente.
Finalize com cheiro-verde.</t>
  </si>
  <si>
    <t>Farofa de Banana com Cebola servido em prato claro, porção individual bem montada, com os ingredientes principais visíveis e aparência caseira natural.</t>
  </si>
  <si>
    <t>NL-326</t>
  </si>
  <si>
    <t>Grão-de-Bico Crocante com Páprica</t>
  </si>
  <si>
    <t>100 g de grão-de-bico cozido
1 colher de chá de azeite
Páprica, cúrcuma, sal e pimenta a gosto</t>
  </si>
  <si>
    <t>Seque bem o grão-de-bico.
Misture com o azeite e os temperos.
Leve à airfryer a 190 °C por aproximadamente 15 minutos.
Mexa na metade do tempo.</t>
  </si>
  <si>
    <t>Grão-de-Bico Crocante com Páprica servido em prato claro, porção individual bem montada, com os ingredientes principais visíveis e aparência caseira natural.</t>
  </si>
  <si>
    <t>NL-327</t>
  </si>
  <si>
    <t>Lentilha Temperada com Tomate e Cebola</t>
  </si>
  <si>
    <t>120 g de lentilha cozida
60 g de tomate
30 g de cebola
1 colher de chá de azeite
Cheiro-verde, sal e pimenta a gosto</t>
  </si>
  <si>
    <t>Refogue a cebola e o tomate rapidamente.
Acrescente a lentilha.
Misture delicadamente.
Finalize com cheiro-verde.</t>
  </si>
  <si>
    <t>Lentilha Temperada com Tomate e Cebola servido em prato claro, porção individual bem montada, com os ingredientes principais visíveis e aparência caseira natural.</t>
  </si>
  <si>
    <t>NL-328</t>
  </si>
  <si>
    <t>Ervilha Fresca Refogada com Cebola e Hortelã</t>
  </si>
  <si>
    <t>120 g de ervilha
30 g de cebola
1 colher de chá de azeite
Hortelã a gosto
Sal e pimenta a gosto</t>
  </si>
  <si>
    <t>Refogue a cebola no azeite.
Acrescente a ervilha.
Cozinhe por alguns minutos.
Finalize com hortelã, sal e pimenta.</t>
  </si>
  <si>
    <t>Ervilha Fresca Refogada com Cebola e Hortelã servido em prato claro, porção individual bem montada, com os ingredientes principais visíveis e aparência caseira natural.</t>
  </si>
  <si>
    <t>NL-329</t>
  </si>
  <si>
    <t>Palmito Assado com Tomate e Orégano</t>
  </si>
  <si>
    <t>150 g de palmito em rodelas
80 g de tomate
1 colher de chá de azeite
Orégano, sal e pimenta a gosto</t>
  </si>
  <si>
    <t>Distribua o palmito e o tomate em um refratário.
Regue com azeite.
Tempere com orégano, sal e pimenta.
Leve ao forno por aproximadamente 15 minutos.</t>
  </si>
  <si>
    <t>Palmito Assado com Tomate e Orégano servido em prato claro, porção individual bem montada, com os ingredientes principais visíveis e aparência caseira natural.</t>
  </si>
  <si>
    <t>NL-330</t>
  </si>
  <si>
    <t>Tomates Assados com Alho e Ervas</t>
  </si>
  <si>
    <t>200 g de tomates
1 colher de chá de azeite
1 dente de alho
Orégano e manjericão a gosto
Sal e pimenta a gosto</t>
  </si>
  <si>
    <t>Corte os tomates.
Disponha em uma assadeira.
Acrescente alho, azeite e temperos.
Asse a 200 °C por aproximadamente 20 minutos.</t>
  </si>
  <si>
    <t>Tomates Assados com Alho e Ervas servido em prato claro, porção individual bem montada, com os ingredientes principais visíveis e aparência caseira natural.</t>
  </si>
  <si>
    <t>NL-331</t>
  </si>
  <si>
    <t>Mini Pimentões Assados Recheados com Ricota</t>
  </si>
  <si>
    <t>150 g de pimentões
70 g de ricota
30 g de tomate picado
Orégano e salsinha a gosto
Sal e pimenta a gosto</t>
  </si>
  <si>
    <t>Corte os pimentões ao meio e retire as sementes.
Misture ricota, tomate e ervas.
Recheie os pimentões.
Asse a 200 °C por aproximadamente 20 minutos.</t>
  </si>
  <si>
    <t>Para versão sem lactose, utilize ricota zero lactose.</t>
  </si>
  <si>
    <t>Mini Pimentões Assados Recheados com Ricota servido em prato claro, porção individual bem montada, com os ingredientes principais visíveis e aparência caseira natural.</t>
  </si>
  <si>
    <t>NL-332</t>
  </si>
  <si>
    <t>Cogumelos Salteados com Alho e Salsinha</t>
  </si>
  <si>
    <t>180 g de cogumelos frescos fatiados
1 colher de chá de azeite
1 dente de alho
Salsinha, sal e pimenta a gosto</t>
  </si>
  <si>
    <t>Aqueça bem a frigideira.
Acrescente o azeite e os cogumelos.
Deixe dourar antes de mexer.
Acrescente o alho.
Finalize com salsinha.</t>
  </si>
  <si>
    <t>Cogumelos Salteados com Alho e Salsinha servido em prato claro, porção individual bem montada, com os ingredientes principais visíveis e aparência caseira natural.</t>
  </si>
  <si>
    <t>NL-333</t>
  </si>
  <si>
    <t>Milho Refogado com Tomate e Cebolinha</t>
  </si>
  <si>
    <t>100 g de milho cozido
60 g de tomate
20 g de cebola
1 colher de chá de azeite
Cebolinha, sal e pimenta a gosto</t>
  </si>
  <si>
    <t>Refogue a cebola no azeite.
Acrescente o milho.
Junte o tomate e cozinhe rapidamente.
Finalize com cebolinha.</t>
  </si>
  <si>
    <t>Milho Refogado com Tomate e Cebolinha servido em prato claro, porção individual bem montada, com os ingredientes principais visíveis e aparência caseira natural.</t>
  </si>
  <si>
    <t>NL-334</t>
  </si>
  <si>
    <t>Cebolas Assadas com Balsâmico e Ervas</t>
  </si>
  <si>
    <t>150 g de cebola em gomos
1 colher de chá de azeite
1 colher de sopa de vinagre balsâmico
Alecrim ou tomilho a gosto
Sal e pimenta a gosto</t>
  </si>
  <si>
    <t>Coloque as cebolas em um refratário.
Acrescente azeite e balsâmico.
Tempere com ervas.
Asse a 200 °C por aproximadamente 25 minutos.</t>
  </si>
  <si>
    <t>Cebolas Assadas com Balsâmico e Ervas servido em prato claro, porção individual bem montada, com os ingredientes principais visíveis e aparência caseira natural.</t>
  </si>
  <si>
    <t>NL-335</t>
  </si>
  <si>
    <t>Legumes Assados com Ervas</t>
  </si>
  <si>
    <t>70 g de abobrinha
70 g de berinjela
60 g de cenoura
50 g de pimentão
50 g de cebola
1 colher de chá de azeite
Alecrim, orégano, sal e pimenta a gosto</t>
  </si>
  <si>
    <t>Corte os vegetais em pedaços semelhantes.
Misture com azeite e ervas.
Distribua em uma assadeira.
Asse a 200 °C por 25 a 30 minutos, mexendo na metade do tempo.</t>
  </si>
  <si>
    <t>Legumes Assados com Ervas servido em prato claro, porção individual bem montada, com os ingredientes principais visíveis e aparência caseira natural.</t>
  </si>
  <si>
    <t>NL-336</t>
  </si>
  <si>
    <t>Refresco de Melancia com Hortelã</t>
  </si>
  <si>
    <t>Lanche • Ao longo do dia</t>
  </si>
  <si>
    <t>150 g de melancia
200 ml de água gelada
5 folhas de hortelã
Gelo a gosto</t>
  </si>
  <si>
    <t>Coloque a melancia e a água no liquidificador.
Bata até ficar homogêneo.
Acrescente a hortelã e bata rapidamente.
Adicione gelo e sirva imediatamente.</t>
  </si>
  <si>
    <t>Refresco de Melancia com Hortelã servido em copo alto transparente, bebida fresca e homogênea, com guarnição discreta dos ingredientes principais.</t>
  </si>
  <si>
    <t>NL-337</t>
  </si>
  <si>
    <t>Refresco de Morango com Água de Coco</t>
  </si>
  <si>
    <t>100 g de morangos
150 ml de água de coco
50 ml de água gelada
Gelo a gosto</t>
  </si>
  <si>
    <t>Higienize os morangos.
Bata com a água de coco e a água.
Acrescente gelo.
Sirva imediatamente.</t>
  </si>
  <si>
    <t>Refresco de Morango com Água de Coco servido em copo alto transparente, bebida fresca e homogênea, com guarnição discreta dos ingredientes principais.</t>
  </si>
  <si>
    <t>NL-338</t>
  </si>
  <si>
    <t>Refresco de Manga com Maracujá</t>
  </si>
  <si>
    <t>60 g de manga
40 g de polpa de maracujá
250 ml de água gelada
Gelo a gosto</t>
  </si>
  <si>
    <t>Bata a manga com a água.
Acrescente a polpa de maracujá.
Bata rapidamente.
Adicione gelo e sirva.</t>
  </si>
  <si>
    <t>Refresco de Manga com Maracujá servido em copo alto transparente, bebida fresca e homogênea, com guarnição discreta dos ingredientes principais.</t>
  </si>
  <si>
    <t>NL-339</t>
  </si>
  <si>
    <t>Refresco de Acerola com Hortelã</t>
  </si>
  <si>
    <t>100 g de acerola
250 ml de água gelada
5 folhas de hortelã
Gelo a gosto</t>
  </si>
  <si>
    <t>Bata a acerola com a água.
Coe, se desejar.
Acrescente a hortelã e bata rapidamente.
Sirva com gelo.</t>
  </si>
  <si>
    <t>Refresco de Acerola com Hortelã servido em copo alto transparente, bebida fresca e homogênea, com guarnição discreta dos ingredientes principais.</t>
  </si>
  <si>
    <t>NL-340</t>
  </si>
  <si>
    <t>Refresco de Goiaba com Hortelã</t>
  </si>
  <si>
    <t>100 g de goiaba
250 ml de água gelada
Hortelã a gosto
Gelo a gosto</t>
  </si>
  <si>
    <t>Bata a goiaba com a água.
Coe, se desejar.
Acrescente a hortelã.
Sirva bem gelado.</t>
  </si>
  <si>
    <t>Refresco de Goiaba com Hortelã servido em copo alto transparente, bebida fresca e homogênea, com guarnição discreta dos ingredientes principais.</t>
  </si>
  <si>
    <t>NL-341</t>
  </si>
  <si>
    <t>Refresco de Pêssego com Chá de Camomila</t>
  </si>
  <si>
    <t>100 g de pêssego
200 ml de chá de camomila preparado e frio
Gelo a gosto</t>
  </si>
  <si>
    <t>Prepare o chá de camomila e espere esfriar completamente.
Bata o chá com o pêssego.
Acrescente gelo.
Sirva imediatamente.</t>
  </si>
  <si>
    <t>Refresco de Pêssego com Chá de Camomila servido em copo alto transparente, bebida fresca e homogênea, com guarnição discreta dos ingredientes principais.</t>
  </si>
  <si>
    <t>NL-342</t>
  </si>
  <si>
    <t>Refresco de Maçã com Canela</t>
  </si>
  <si>
    <t>100 g de maçã com casca
250 ml de água gelada
Canela a gosto
Gelo a gosto</t>
  </si>
  <si>
    <t>Corte a maçã e retire as sementes.
Bata com a água gelada.
Acrescente a canela.
Sirva imediatamente com gelo.</t>
  </si>
  <si>
    <t>Refresco de Maçã com Canela servido em copo alto transparente, bebida fresca e homogênea, com guarnição discreta dos ingredientes principais.</t>
  </si>
  <si>
    <t>NL-343</t>
  </si>
  <si>
    <t>Refresco de Abacaxi com Gengibre</t>
  </si>
  <si>
    <t>100 g de abacaxi
250 ml de água gelada
1 pequena lasca de gengibre
Gelo a gosto</t>
  </si>
  <si>
    <t>Bata o abacaxi com a água.
Acrescente o gengibre.
Bata novamente por alguns segundos.
Sirva com gelo.</t>
  </si>
  <si>
    <t>Refresco de Abacaxi com Gengibre servido em copo alto transparente, bebida fresca e homogênea, com guarnição discreta dos ingredientes principais.</t>
  </si>
  <si>
    <t>NL-344</t>
  </si>
  <si>
    <t>Refresco de Kiwi com Hortelã</t>
  </si>
  <si>
    <t>1 kiwi médio (80 g)
250 ml de água gelada
Hortelã a gosto
Gelo a gosto</t>
  </si>
  <si>
    <t>Descasque o kiwi.
Bata com a água.
Acrescente a hortelã e bata rapidamente.
Sirva com gelo.</t>
  </si>
  <si>
    <t>Refresco de Kiwi com Hortelã servido em copo alto transparente, bebida fresca e homogênea, com guarnição discreta dos ingredientes principais.</t>
  </si>
  <si>
    <t>NL-345</t>
  </si>
  <si>
    <t>Refresco de Melão com Gengibre</t>
  </si>
  <si>
    <t>150 g de melão
200 ml de água gelada
1 pequena lasca de gengibre
Gelo a gosto</t>
  </si>
  <si>
    <t>Bata o melão com a água.
Acrescente o gengibre.
Bata rapidamente.
Sirva com bastante gelo.</t>
  </si>
  <si>
    <t>Refresco de Melão com Gengibre servido em copo alto transparente, bebida fresca e homogênea, com guarnição discreta dos ingredientes principais.</t>
  </si>
  <si>
    <t>NL-346</t>
  </si>
  <si>
    <t>Refresco de Morango com Manjericão</t>
  </si>
  <si>
    <t>100 g de morangos
250 ml de água gelada
3 folhas de manjericão fresco
Gelo a gosto</t>
  </si>
  <si>
    <t>Bata os morangos com a água.
Acrescente o manjericão.
Bata rapidamente apenas para incorporar.
Sirva gelado.</t>
  </si>
  <si>
    <t>Refresco de Morango com Manjericão servido em copo alto transparente, bebida fresca e homogênea, com guarnição discreta dos ingredientes principais.</t>
  </si>
  <si>
    <t>NL-347</t>
  </si>
  <si>
    <t>Refresco de Pera com Hortelã</t>
  </si>
  <si>
    <t>100 g de pera com casca
250 ml de água gelada
Hortelã a gosto
Gelo a gosto</t>
  </si>
  <si>
    <t>Corte a pera e retire as sementes.
Bata com a água.
Acrescente a hortelã e bata rapidamente.
Sirva com gelo.</t>
  </si>
  <si>
    <t>Refresco de Pera com Hortelã servido em copo alto transparente, bebida fresca e homogênea, com guarnição discreta dos ingredientes principais.</t>
  </si>
  <si>
    <t>NL-348</t>
  </si>
  <si>
    <t>Refresco de Melancia com Gengibre</t>
  </si>
  <si>
    <t>150 g de melancia
200 ml de água gelada
1 pequena lasca de gengibre
Gelo a gosto</t>
  </si>
  <si>
    <t>Bata a melancia com a água.
Acrescente o gengibre.
Bata por mais alguns segundos.
Sirva bem gelado.</t>
  </si>
  <si>
    <t>Refresco de Melancia com Gengibre servido em copo alto transparente, bebida fresca e homogênea, com guarnição discreta dos ingredientes principais.</t>
  </si>
  <si>
    <t>NL-349</t>
  </si>
  <si>
    <t>Refresco de Caju com Hortelã</t>
  </si>
  <si>
    <t>100 g de caju
250 ml de água gelada
Hortelã a gosto
Gelo a gosto</t>
  </si>
  <si>
    <t>Bata o caju com a água.
Coe, se desejar.
Acrescente a hortelã.
Sirva bem gelado.</t>
  </si>
  <si>
    <t>Refresco de Caju com Hortelã servido em copo alto transparente, bebida fresca e homogênea, com guarnição discreta dos ingredientes principais.</t>
  </si>
  <si>
    <t>NL-350</t>
  </si>
  <si>
    <t>Refresco de Laranja com Gengibre e Canela</t>
  </si>
  <si>
    <t>100 ml de suco de laranja natural
150 ml de água gelada
1 pequena lasca de gengibre
Canela a gosto
Gelo a gosto</t>
  </si>
  <si>
    <t>Misture o suco de laranja com a água.
Acrescente o gengibre.
Finalize com uma pequena pitada de canela.
Adicione gelo e sirva.</t>
  </si>
  <si>
    <t>Refresco de Laranja com Gengibre e Canela servido em copo alto transparente, bebida fresca e homogênea, com guarnição discreta dos ingredientes principais.</t>
  </si>
  <si>
    <t>NL-351</t>
  </si>
  <si>
    <t>Água Saborizada de Morango e Hortelã</t>
  </si>
  <si>
    <t>Ao longo do dia</t>
  </si>
  <si>
    <t>1 litro de água
100 g de morangos fatiados
10 folhas de hortelã
Gelo a gosto</t>
  </si>
  <si>
    <t>Coloque os morangos e a hortelã em uma jarra.
Acrescente a água.
Leve à geladeira por pelo menos 1 hora.
Acrescente gelo antes de servir.</t>
  </si>
  <si>
    <t>1 litro</t>
  </si>
  <si>
    <t>Água Saborizada de Morango e Hortelã servido em copo alto transparente, bebida fresca e homogênea, com guarnição discreta dos ingredientes principais.</t>
  </si>
  <si>
    <t>NL-352</t>
  </si>
  <si>
    <t>Gelatina Cremosa de Morango com Iogurte</t>
  </si>
  <si>
    <t>1/2 pacote de gelatina zero sabor morango
100 ml de água quente
100 ml de água fria
100 g de iogurte natural desnatado
50 g de morangos picados</t>
  </si>
  <si>
    <t>Dissolva a gelatina na água quente.
Acrescente a água fria.
Leve à geladeira até começar a firmar.
Bata a gelatina com o iogurte até formar um creme.
Coloque em uma taça.
Finalize com os morangos e leve novamente à geladeira.</t>
  </si>
  <si>
    <t>Para versão sem lactose, utilizar iogurte zero lactose.</t>
  </si>
  <si>
    <t>Gelatina Cremosa de Morango com Iogurte servido em prato claro, porção individual bem montada, com os ingredientes principais visíveis e aparência caseira natural.</t>
  </si>
  <si>
    <t>NL-353</t>
  </si>
  <si>
    <t>Gelatina Batida de Maracujá com Iogurte</t>
  </si>
  <si>
    <t>1/2 pacote de gelatina zero sabor maracujá
100 ml de água quente
100 ml de água fria
120 g de iogurte natural desnatado
20 g de polpa de maracujá</t>
  </si>
  <si>
    <t>Dissolva a gelatina na água quente.
Acrescente a água fria.
Leve à geladeira até ficar parcialmente firme.
Bata com o iogurte.
Coloque em uma taça.
Finalize com a polpa de maracujá.</t>
  </si>
  <si>
    <t>Gelatina Batida de Maracujá com Iogurte servido em prato claro, porção individual bem montada, com os ingredientes principais visíveis e aparência caseira natural.</t>
  </si>
  <si>
    <t>NL-354</t>
  </si>
  <si>
    <t>Overnight Oats de Banana e Canela</t>
  </si>
  <si>
    <t>25 g de aveia em flocos
100 g de iogurte natural desnatado
50 ml de leite desnatado
60 g de banana em rodelas
5 g de chia
Canela a gosto</t>
  </si>
  <si>
    <t>Misture a aveia, o iogurte, o leite e a chia.
Coloque em um pote com tampa.
Acrescente a banana.
Finalize com canela.
Leve à geladeira de um dia para o outro.</t>
  </si>
  <si>
    <t>Overnight Oats de Banana e Canela servido em prato claro, porção individual bem montada, com os ingredientes principais visíveis e aparência caseira natural.</t>
  </si>
  <si>
    <t>NL-355</t>
  </si>
  <si>
    <t>Overnight Oats de Cacau e Morango</t>
  </si>
  <si>
    <t>25 g de aveia
100 g de iogurte natural desnatado
50 ml de leite desnatado
80 g de morangos
5 g de cacau em pó
5 g de chia
Adoçante opcional</t>
  </si>
  <si>
    <t>Misture a aveia, o iogurte, o leite, o cacau e a chia.
Acrescente metade dos morangos picados.
Tampe e deixe na geladeira durante a noite.
Finalize com o restante dos morangos antes de servir.</t>
  </si>
  <si>
    <t>Overnight Oats de Cacau e Morango servido em prato claro, porção individual bem montada, com os ingredientes principais visíveis e aparência caseira natural.</t>
  </si>
  <si>
    <t>NL-356</t>
  </si>
  <si>
    <t>Pudim de Chia com Morango</t>
  </si>
  <si>
    <t>Rico em fibras • Sem glúten • Vegetariano</t>
  </si>
  <si>
    <t>15 g de chia
120 ml de leite desnatado
80 g de morangos picados
1/2 colher de chá de essência de baunilha
Adoçante a gosto, opcional</t>
  </si>
  <si>
    <t>Misture a chia com o leite e a baunilha.
Aguarde 5 minutos e mexa novamente.
Leve à geladeira por pelo menos 2 horas.
Finalize com os morangos.</t>
  </si>
  <si>
    <t>Pudim de Chia com Morango servido em prato claro, porção individual bem montada, com os ingredientes principais visíveis e aparência caseira natural.</t>
  </si>
  <si>
    <t>NL-357</t>
  </si>
  <si>
    <t>Pudim de Chia com Manga e Coco</t>
  </si>
  <si>
    <t>15 g de chia
120 ml de bebida vegetal sem açúcar
70 g de manga em cubos
5 g de coco seco ralado sem açúcar</t>
  </si>
  <si>
    <t>Misture a chia com a bebida vegetal.
Aguarde 5 minutos e mexa novamente.
Leve à geladeira por pelo menos 2 horas.
Finalize com a manga e o coco ralado.</t>
  </si>
  <si>
    <t>Pudim de Chia com Manga e Coco servido em prato claro, porção individual bem montada, com os ingredientes principais visíveis e aparência caseira natural.</t>
  </si>
  <si>
    <t>NL-358</t>
  </si>
  <si>
    <t>Pudim Fit de Caneca de Chocolate</t>
  </si>
  <si>
    <t>1 ovo
100 ml de leite desnatado
10 g de leite em pó desnatado
5 g de cacau em pó 100%
Adoçante culinário a gosto
1/2 colher de chá de essência de baunilha</t>
  </si>
  <si>
    <t>Bata o ovo com um garfo.
Acrescente o leite, o leite em pó, o cacau, o adoçante e a baunilha.
Misture bem até ficar homogêneo.
Coloque em uma caneca ou ramequim próprio para micro-ondas.
Leve ao micro-ondas em intervalos curtos até firmar, totalizando aproximadamente 2 a 3 minutos.
Espere amornar antes de servir.</t>
  </si>
  <si>
    <t>Pudim Fit de Caneca de Chocolate servido em prato claro, porção individual bem montada, com os ingredientes principais visíveis e aparência caseira natural.</t>
  </si>
  <si>
    <t>NL-359</t>
  </si>
  <si>
    <t>Salada de Frutas Vermelhas com Iogurte</t>
  </si>
  <si>
    <t>80 g de morango
50 g de uva
50 g de maçã com casca
80 g de iogurte natural desnatado
Hortelã a gosto</t>
  </si>
  <si>
    <t>Higienize e corte as frutas.
Misture delicadamente.
Acrescente o iogurte.
Finalize com hortelã.
Sirva bem gelada.</t>
  </si>
  <si>
    <t>Salada de Frutas Vermelhas com Iogurte montada em prato raso claro, ingredientes frescos bem distribuídos e apresentação colorida e natural.</t>
  </si>
  <si>
    <t>NL-360</t>
  </si>
  <si>
    <t>Salada Tropical de Frutas com Maracujá</t>
  </si>
  <si>
    <t>70 g de mamão
70 g de melão
60 g de manga
50 g de abacaxi
20 g de polpa de maracujá
Hortelã a gosto</t>
  </si>
  <si>
    <t>Corte todas as frutas em cubos pequenos.
Misture delicadamente.
Acrescente a polpa de maracujá.
Finalize com hortelã.
Mantenha refrigerada até servir.</t>
  </si>
  <si>
    <t>Salada Tropical de Frutas com Maracujá montada em prato raso claro, ingredientes frescos bem distribuídos e apresentação colorida e natural.</t>
  </si>
  <si>
    <t>NL-361</t>
  </si>
  <si>
    <t>Macarrão ao Molho de Tomate com Abobrinha</t>
  </si>
  <si>
    <t>Vegano • Sem lactose</t>
  </si>
  <si>
    <t>80 g de macarrão cozido
100 g de abobrinha em cubos
100 g de molho de tomate
20 g de cebola
1 colher de chá de azeite
Alho, manjericão, sal e pimenta a gosto</t>
  </si>
  <si>
    <t>Refogue a cebola e o alho no azeite.
Acrescente a abobrinha e cozinhe rapidamente.
Junte o molho de tomate.
Acrescente o macarrão e misture.
Finalize com manjericão.</t>
  </si>
  <si>
    <t>Macarrão ao Molho de Tomate com Abobrinha servido em pequena molheira clara, textura e cor naturais, acompanhado dos ingredientes que compõem a receita.</t>
  </si>
  <si>
    <t>NL-362</t>
  </si>
  <si>
    <t>Macarrão com Frango, Tomate e Espinafre</t>
  </si>
  <si>
    <t>70 g de macarrão cozido
90 g de frango desfiado
60 g de espinafre
80 g de tomate
20 g de cebola
1 colher de chá de azeite</t>
  </si>
  <si>
    <t>Refogue a cebola.
Acrescente o frango.
Junte tomate e espinafre.
Acrescente o macarrão.
Misture e ajuste os temperos.</t>
  </si>
  <si>
    <t>Macarrão com Frango, Tomate e Espinafre servido em prato claro, porção individual bem montada, com os ingredientes principais visíveis e aparência caseira natural.</t>
  </si>
  <si>
    <t>NL-363</t>
  </si>
  <si>
    <t>Macarrão Cremoso com Cottage e Brócolis</t>
  </si>
  <si>
    <t>80 g de macarrão cozido
100 g de brócolis
70 g de cottage
30 ml de leite desnatado
Alho, sal, pimenta e noz-moscada a gosto</t>
  </si>
  <si>
    <t>Cozinhe o brócolis deixando-o firme.
Misture o cottage com o leite.
Aqueça em fogo baixo.
Acrescente o brócolis e o macarrão.
Tempere e misture até ficar cremoso.</t>
  </si>
  <si>
    <t>Macarrão Cremoso com Cottage e Brócolis servido em prato claro, porção individual bem montada, com os ingredientes principais visíveis e aparência caseira natural.</t>
  </si>
  <si>
    <t>NL-364</t>
  </si>
  <si>
    <t>Macarrão com Atum e Molho de Tomate</t>
  </si>
  <si>
    <t>70 g de macarrão cozido
90 g de atum em água escorrido
100 g de molho de tomate
30 g de cebola
Cheiro-verde e pimenta a gosto</t>
  </si>
  <si>
    <t>Refogue a cebola.
Acrescente o molho de tomate.
Junte o atum.
Misture o macarrão.
Finalize com cheiro-verde.</t>
  </si>
  <si>
    <t>Macarrão com Atum e Molho de Tomate servido em pequena molheira clara, textura e cor naturais, acompanhado dos ingredientes que compõem a receita.</t>
  </si>
  <si>
    <t>NL-365</t>
  </si>
  <si>
    <t>Macarrão com Berinjela, Tomate e Manjericão</t>
  </si>
  <si>
    <t>Rico em fibras • Vegano • Sem lactose</t>
  </si>
  <si>
    <t>80 g de macarrão cozido
120 g de berinjela em cubos
100 g de tomate
20 g de cebola
1 colher de chá de azeite
Manjericão a gosto</t>
  </si>
  <si>
    <t>Refogue cebola e berinjela no azeite.
Acrescente o tomate.
Cozinhe até formar um molho rústico.
Junte o macarrão.
Finalize com manjericão.</t>
  </si>
  <si>
    <t>Macarrão com Berinjela, Tomate e Manjericão servido em prato claro, porção individual bem montada, com os ingredientes principais visíveis e aparência caseira natural.</t>
  </si>
  <si>
    <t>NL-366</t>
  </si>
  <si>
    <t>Macarrão com Camarão, Limão e Tomate</t>
  </si>
  <si>
    <t>70 g de macarrão cozido
100 g de camarão limpo
80 g de tomate-cereja
1 colher de chá de azeite
Suco de limão a gosto
Alho, sal, pimenta e salsinha</t>
  </si>
  <si>
    <t>Doure o alho no azeite.
Acrescente os camarões e cozinhe rapidamente.
Junte os tomates.
Acrescente o macarrão.
Finalize com limão e salsinha.</t>
  </si>
  <si>
    <t>Macarrão com Camarão, Limão e Tomate servido em prato claro, porção individual bem montada, com os ingredientes principais visíveis e aparência caseira natural.</t>
  </si>
  <si>
    <t>NL-367</t>
  </si>
  <si>
    <t>Macarrão Integral com Frango e Brócolis</t>
  </si>
  <si>
    <t>70 g de macarrão integral cozido
80 g de frango em cubos
100 g de brócolis
1 colher de chá de azeite
Alho, sal e pimenta a gosto</t>
  </si>
  <si>
    <t>Grelhe o frango.
Acrescente o brócolis.
Junte o macarrão integral.
Regue com azeite.
Tempere e misture.</t>
  </si>
  <si>
    <t>Macarrão Integral com Frango e Brócolis servido em prato claro, porção individual bem montada, com os ingredientes principais visíveis e aparência caseira natural.</t>
  </si>
  <si>
    <t>NL-368</t>
  </si>
  <si>
    <t>Macarrão ao Alho e Óleo Leve com Tomate-Cereja</t>
  </si>
  <si>
    <t>90 g de macarrão cozido
100 g de tomate-cereja
1 colher de chá de azeite
1 dente de alho
Salsinha, sal e pimenta a gosto</t>
  </si>
  <si>
    <t>Doure o alho no azeite.
Acrescente o tomate.
Junte o macarrão.
Misture bem.
Finalize com salsinha.</t>
  </si>
  <si>
    <t>Macarrão ao Alho e Óleo Leve com Tomate-Cereja servido em prato claro, porção individual bem montada, com os ingredientes principais visíveis e aparência caseira natural.</t>
  </si>
  <si>
    <t>NL-369</t>
  </si>
  <si>
    <t>Macarrão com Ricota, Espinafre e Tomate</t>
  </si>
  <si>
    <t>80 g de macarrão cozido
60 g de ricota
60 g de espinafre
80 g de tomate
20 ml de leite
Sal, alho e noz-moscada a gosto</t>
  </si>
  <si>
    <t>Refogue o espinafre.
Amasse a ricota com o leite.
Acrescente o tomate.
Junte o macarrão.
Misture até ficar cremoso.</t>
  </si>
  <si>
    <t>Macarrão com Ricota, Espinafre e Tomate servido em prato claro, porção individual bem montada, com os ingredientes principais visíveis e aparência caseira natural.</t>
  </si>
  <si>
    <t>NL-370</t>
  </si>
  <si>
    <t>Macarrão com Carne Moída e Abobrinha</t>
  </si>
  <si>
    <t>65 g de macarrão cozido
80 g de patinho moído
100 g de abobrinha
80 g de molho de tomate
20 g de cebola</t>
  </si>
  <si>
    <t>Doure a carne.
Acrescente cebola e abobrinha.
Junte o molho de tomate.
Acrescente o macarrão.
Misture e sirva.</t>
  </si>
  <si>
    <t>Macarrão com Carne Moída e Abobrinha servido em prato claro, porção individual bem montada, com os ingredientes principais visíveis e aparência caseira natural.</t>
  </si>
  <si>
    <t>NL-371</t>
  </si>
  <si>
    <t>Macarrão com Cogumelos e Creme de Ricota</t>
  </si>
  <si>
    <t>80 g de macarrão cozido
100 g de cogumelos
50 g de creme de ricota
30 ml de leite
20 g de cebola
Salsinha e pimenta a gosto</t>
  </si>
  <si>
    <t>Refogue cebola e cogumelos.
Acrescente creme de ricota e leite.
Misture até formar um molho.
Acrescente o macarrão.
Finalize com salsinha.</t>
  </si>
  <si>
    <t>Macarrão com Cogumelos e Creme de Ricota servido em tigela clara, textura cremosa e acabamento com ervas ou ingrediente principal aparente.</t>
  </si>
  <si>
    <t>NL-372</t>
  </si>
  <si>
    <t>Macarrão com Abóbora Cremosa e Frango</t>
  </si>
  <si>
    <t>60 g de macarrão cozido
90 g de frango desfiado
120 g de abóbora cozida
30 ml de leite
20 g de cebola
Sal e noz-moscada a gosto</t>
  </si>
  <si>
    <t>Amasse a abóbora com o leite.
Refogue a cebola e o frango.
Acrescente o creme de abóbora.
Junte o macarrão.
Misture até ficar bem cremoso.</t>
  </si>
  <si>
    <t>Macarrão com Abóbora Cremosa e Frango servido em prato claro, porção individual bem montada, com os ingredientes principais visíveis e aparência caseira natural.</t>
  </si>
  <si>
    <t>NL-373</t>
  </si>
  <si>
    <t>Macarrão com Sardinha, Tomate e Cheiro-Verde</t>
  </si>
  <si>
    <t>70 g de macarrão cozido
80 g de sardinha escorrida
100 g de tomate
20 g de cebola
Limão e cheiro-verde a gosto</t>
  </si>
  <si>
    <t>Refogue cebola e tomate.
Acrescente a sardinha.
Junte o macarrão.
Misture delicadamente.
Finalize com limão e cheiro-verde.</t>
  </si>
  <si>
    <t>Macarrão com Sardinha, Tomate e Cheiro-Verde servido em prato claro, porção individual bem montada, com os ingredientes principais visíveis e aparência caseira natural.</t>
  </si>
  <si>
    <t>NL-374</t>
  </si>
  <si>
    <t>Macarrão com Cenoura, Ervilha e Molho de Tomate</t>
  </si>
  <si>
    <t>75 g de macarrão cozido
60 g de cenoura
50 g de ervilha
100 g de molho de tomate
20 g de cebola
1 colher de chá de azeite</t>
  </si>
  <si>
    <t>Refogue a cebola e a cenoura.
Acrescente a ervilha.
Junte o molho de tomate.
Acrescente o macarrão.
Misture bem.</t>
  </si>
  <si>
    <t>Macarrão com Cenoura, Ervilha e Molho de Tomate servido em pequena molheira clara, textura e cor naturais, acompanhado dos ingredientes que compõem a receita.</t>
  </si>
  <si>
    <t>NL-375</t>
  </si>
  <si>
    <t>Macarrão com Peixe Branco, Tomate e Ervas</t>
  </si>
  <si>
    <t>65 g de macarrão cozido
100 g de peixe branco em cubos
80 g de tomate
30 g de cebola
1 colher de chá de azeite
Alho, limão, salsinha, sal e pimenta a gosto</t>
  </si>
  <si>
    <t>Tempere o peixe.
Doure rapidamente no azeite.
Acrescente cebola e tomate.
Junte o macarrão.
Misture delicadamente.
Finalize com limão e salsinha.</t>
  </si>
  <si>
    <t>Macarrão com Peixe Branco, Tomate e Ervas servido em prato claro, porção individual bem montada, com os ingredientes principais visíveis e aparência caseira natural.</t>
  </si>
  <si>
    <t>NL-376</t>
  </si>
  <si>
    <t>Purê Cremoso de Cenoura com Ervas</t>
  </si>
  <si>
    <t>180 g de cenoura cozida
30 ml de leite desnatado
20 g de creme de ricota
Sal e pimenta-do-reino a gosto
Salsinha ou cebolinha a gosto</t>
  </si>
  <si>
    <t>Cozinhe a cenoura até ficar bem macia.
Bata ou amasse com o leite.
Acrescente o creme de ricota.
Leve ao fogo baixo e mexa até ficar cremoso.
Tempere e finalize com ervas.</t>
  </si>
  <si>
    <t>Para versão sem lactose, utilize leite e creme de ricota zero lactose.</t>
  </si>
  <si>
    <t>Purê Cremoso de Cenoura com Ervas servido em prato claro, porção individual bem montada, com os ingredientes principais visíveis e aparência caseira natural.</t>
  </si>
  <si>
    <t>NL-377</t>
  </si>
  <si>
    <t>Purê de Abóbora Cabotiá com Gengibre</t>
  </si>
  <si>
    <t>200 g de abóbora cabotiá cozida
1 colher de chá de azeite
Gengibre ralado a gosto
Sal, pimenta-do-reino e noz-moscada a gosto</t>
  </si>
  <si>
    <t>Cozinhe a abóbora até ficar bem macia.
Amasse ainda quente.
Acrescente o azeite e o gengibre.
Tempere.
Leve ao fogo por alguns minutos, mexendo até ficar cremoso.</t>
  </si>
  <si>
    <t>Purê de Abóbora Cabotiá com Gengibre servido em prato claro, porção individual bem montada, com os ingredientes principais visíveis e aparência caseira natural.</t>
  </si>
  <si>
    <t>NL-378</t>
  </si>
  <si>
    <t>Purê de Batata com Alho Assado</t>
  </si>
  <si>
    <t>150 g de batata inglesa cozida
40 ml de leite desnatado
1 dente de alho assado
1 colher de chá de manteiga
Sal e noz-moscada a gosto</t>
  </si>
  <si>
    <t>Cozinhe a batata até ficar macia.
Amasse ainda quente.
Amasse também o alho assado e misture.
Acrescente o leite aos poucos.
Junte a manteiga e ajuste os temperos.</t>
  </si>
  <si>
    <t>Para versão sem lactose, utilize leite e manteiga zero lactose.</t>
  </si>
  <si>
    <t>Purê de Batata com Alho Assado servido em prato claro, porção individual bem montada, com os ingredientes principais visíveis e aparência caseira natural.</t>
  </si>
  <si>
    <t>NL-379</t>
  </si>
  <si>
    <t>Purê de Batata-Doce com Páprica</t>
  </si>
  <si>
    <t>150 g de batata-doce cozida
1 colher de chá de azeite
30 ml de água do cozimento
Páprica doce ou defumada a gosto
Sal e pimenta-do-reino a gosto</t>
  </si>
  <si>
    <t>Cozinhe a batata-doce.
Amasse ainda quente.
Acrescente a água aos poucos até atingir a textura desejada.
Misture o azeite.
Tempere com páprica, sal e pimenta.</t>
  </si>
  <si>
    <t>Purê de Batata-Doce com Páprica servido em prato claro, porção individual bem montada, com os ingredientes principais visíveis e aparência caseira natural.</t>
  </si>
  <si>
    <t>NL-380</t>
  </si>
  <si>
    <t>Purê de Mandioquinha com Salsinha</t>
  </si>
  <si>
    <t>140 g de mandioquinha cozida
40 ml de leite desnatado
1 colher de chá de azeite
Salsinha picada a gosto
Sal e pimenta-do-reino a gosto</t>
  </si>
  <si>
    <t>Cozinhe a mandioquinha até ficar bem macia.
Amasse.
Acrescente o leite aos poucos.
Misture o azeite.
Tempere e finalize com salsinha.</t>
  </si>
  <si>
    <t>Purê de Mandioquinha com Salsinha servido em prato claro, porção individual bem montada, com os ingredientes principais visíveis e aparência caseira natural.</t>
  </si>
  <si>
    <t>NL-381</t>
  </si>
  <si>
    <t>Purê de Ervilha com Hortelã</t>
  </si>
  <si>
    <t>150 g de ervilha cozida
30 ml de água
1 colher de chá de azeite
Hortelã fresca a gosto
Sal e pimenta-do-reino a gosto</t>
  </si>
  <si>
    <t>Cozinhe a ervilha até ficar macia.
Bata com a água.
Acrescente o azeite.
Tempere.
Finalize com hortelã picada.</t>
  </si>
  <si>
    <t>Purê de Ervilha com Hortelã servido em prato claro, porção individual bem montada, com os ingredientes principais visíveis e aparência caseira natural.</t>
  </si>
  <si>
    <t>NL-382</t>
  </si>
  <si>
    <t>Purê Cremoso de Chuchu com Alho e Parmesão</t>
  </si>
  <si>
    <t>220 g de chuchu cozido
20 g de creme de ricota
10 g de parmesão ralado
1 dente de alho
Sal, pimenta e noz-moscada a gosto</t>
  </si>
  <si>
    <t>Cozinhe o chuchu e escorra muito bem.
Bata ou amasse com o alho.
Acrescente o creme de ricota.
Leve ao fogo baixo para retirar o excesso de água.
Finalize com parmesão e temperos.</t>
  </si>
  <si>
    <t>Purê Cremoso de Chuchu com Alho e Parmesão servido em prato claro, porção individual bem montada, com os ingredientes principais visíveis e aparência caseira natural.</t>
  </si>
  <si>
    <t>NL-383</t>
  </si>
  <si>
    <t>Purê de Brócolis com Creme de Ricota</t>
  </si>
  <si>
    <t>200 g de brócolis cozido
30 g de creme de ricota
1 colher de chá de azeite
Alho, sal e pimenta-do-reino a gosto</t>
  </si>
  <si>
    <t>Cozinhe o brócolis até ficar macio.
Escorra muito bem.
Bata com o creme de ricota.
Acrescente o azeite.
Leve ao fogo por alguns minutos e ajuste os temperos.</t>
  </si>
  <si>
    <t>Purê de Brócolis com Creme de Ricota servido em tigela clara, textura cremosa e acabamento com ervas ou ingrediente principal aparente.</t>
  </si>
  <si>
    <t>NL-384</t>
  </si>
  <si>
    <t>Purê de Abobrinha com Ricota e Manjericão</t>
  </si>
  <si>
    <t>220 g de abobrinha
50 g de ricota
1 colher de chá de azeite
Manjericão fresco a gosto
Sal, alho e pimenta-do-reino a gosto</t>
  </si>
  <si>
    <t>Cozinhe ou refogue a abobrinha até amaciar.
Escorra bem qualquer excesso de líquido.
Bata com a ricota.
Acrescente o azeite.
Tempere e finalize com manjericão.</t>
  </si>
  <si>
    <t>Purê de Abobrinha com Ricota e Manjericão servido em prato claro, porção individual bem montada, com os ingredientes principais visíveis e aparência caseira natural.</t>
  </si>
  <si>
    <t>NL-385</t>
  </si>
  <si>
    <t>Purê de Beterraba com Iogurte e Limão</t>
  </si>
  <si>
    <t>180 g de beterraba cozida
40 g de iogurte natural
1 colher de chá de azeite
1 colher de chá de suco de limão
Sal e pimenta-do-reino a gosto</t>
  </si>
  <si>
    <t>Cozinhe a beterraba até ficar bem macia.
Bata com o iogurte até formar um creme.
Acrescente o azeite e o limão.
Tempere.
Sirva morno ou em temperatura ambiente.</t>
  </si>
  <si>
    <t>Purê de Beterraba com Iogurte e Limão servido em prato claro, porção individual bem montada, com os ingredientes principais visíveis e aparência caseira natural.</t>
  </si>
  <si>
    <t>NL-386</t>
  </si>
  <si>
    <t>Frango ao Molho de Maracujá</t>
  </si>
  <si>
    <t>150 g de filé de peito de frango
40 g de polpa de maracujá
30 g de cebola picada
1 colher de chá de azeite
40 ml de água
Sal e pimenta-do-reino a gosto</t>
  </si>
  <si>
    <t>Tempere o frango e grelhe no azeite.
Retire e reserve.
Na mesma frigideira, refogue a cebola.
Acrescente o maracujá e a água.
Cozinhe por alguns minutos até reduzir.
Volte o frango para a frigideira e envolva no molho.</t>
  </si>
  <si>
    <t>Frango ao Molho de Maracujá servido em pequena molheira clara, textura e cor naturais, acompanhado dos ingredientes que compõem a receita.</t>
  </si>
  <si>
    <t>NL-387</t>
  </si>
  <si>
    <t>Frango Cremoso com Palmito e Alho-Poró</t>
  </si>
  <si>
    <t>150 g de peito de frango em cubos
70 g de palmito picado
40 g de alho-poró
40 g de creme de ricota
30 ml de leite desnatado
Sal e pimenta a gosto</t>
  </si>
  <si>
    <t>Doure o frango em uma frigideira antiaderente.
Acrescente o alho-poró e refogue.
Junte o palmito.
Misture o creme de ricota com o leite.
Acrescente ao frango e cozinhe em fogo baixo até ficar cremoso.</t>
  </si>
  <si>
    <t>Frango Cremoso com Palmito e Alho-Poró servido em prato claro, porção individual bem montada, com os ingredientes principais visíveis e aparência caseira natural.</t>
  </si>
  <si>
    <t>NL-388</t>
  </si>
  <si>
    <t>Wrap Proteico de Frango com Cottage</t>
  </si>
  <si>
    <t>1 wrap integral pequeno (40 g)
90 g de frango desfiado
50 g de cottage
30 g de tomate
Folhas verdes a gosto
Sal, pimenta e ervas a gosto</t>
  </si>
  <si>
    <t>Misture o frango com o cottage.
Tempere a gosto.
Distribua sobre o wrap.
Acrescente tomate e folhas.
Enrole e sirva.</t>
  </si>
  <si>
    <t>Wrap Proteico de Frango com Cottage montado em prato claro, recheio visível e ingredientes distribuídos de forma fiel à receita.</t>
  </si>
  <si>
    <t>NL-389</t>
  </si>
  <si>
    <t>Sanduíche Proteico de Rosbife e Creme de Ricota</t>
  </si>
  <si>
    <t>2 fatias de pão integral (50 g)
90 g de rosbife caseiro de patinho
40 g de creme de ricota
Tomate e rúcula a gosto
Mostarda a gosto</t>
  </si>
  <si>
    <t>Passe o creme de ricota no pão.
Acrescente o rosbife.
Complete com tomate, rúcula e mostarda.
Feche o sanduíche.</t>
  </si>
  <si>
    <t>Sanduíche Proteico de Rosbife e Creme de Ricota servido em tigela clara, textura cremosa e acabamento com ervas ou ingrediente principal aparente.</t>
  </si>
  <si>
    <t>NL-390</t>
  </si>
  <si>
    <t>Pão Francês com Carne Moída Cremosa e Queijo</t>
  </si>
  <si>
    <t>1 pão francês pequeno (50 g)
80 g de patinho moído
30 g de queijo minas
20 g de creme de ricota
Tomate e cheiro-verde a gosto</t>
  </si>
  <si>
    <t>Refogue a carne e tempere.
Misture o creme de ricota.
Abra o pão e coloque o recheio.
Acrescente o queijo.
Leve rapidamente à sanduicheira ou forno.</t>
  </si>
  <si>
    <t>Pão Francês com Carne Moída Cremosa e Queijo montado em prato claro, recheio visível e ingredientes distribuídos de forma fiel à receita.</t>
  </si>
  <si>
    <t>NL-391</t>
  </si>
  <si>
    <t>Crepe Proteico de Frango e Ricota</t>
  </si>
  <si>
    <t>Massa
1 ovo
2 claras
20 g de tapioca
Recheio
70 g de frango desfiado
40 g de ricota
Temperos a gosto</t>
  </si>
  <si>
    <t>Bata o ovo, as claras e a tapioca.
Despeje em frigideira antiaderente.
Cozinhe dos dois lados.
Recheie com frango e ricota.
Dobre e sirva.</t>
  </si>
  <si>
    <t>Crepe Proteico de Frango e Ricota em porção individual sobre prato claro, corte ou interior visível e superfície levemente dourada.</t>
  </si>
  <si>
    <t>NL-392</t>
  </si>
  <si>
    <t>Omelete de Caneca com Frango e Cottage</t>
  </si>
  <si>
    <t>1 ovo
3 claras
60 g de frango desfiado
40 g de cottage
Tomate e cheiro-verde a gosto</t>
  </si>
  <si>
    <t>Bata o ovo e as claras.
Misture o frango, o cottage e os temperos.
Coloque em recipiente próprio para micro-ondas.
Cozinhe em intervalos curtos até firmar.</t>
  </si>
  <si>
    <t>Omelete de Caneca com Frango e Cottage servido em prato claro, porção individual bem montada, com os ingredientes principais visíveis e aparência caseira natural.</t>
  </si>
  <si>
    <t>NL-393</t>
  </si>
  <si>
    <t>Cestinha Proteica de Atum e Cottage</t>
  </si>
  <si>
    <t>1 pão folha pequeno ou wrap (35 g)
90 g de atum em água escorrido
50 g de cottage
Tomate picado
Orégano a gosto</t>
  </si>
  <si>
    <t>Coloque o wrap em uma forminha, formando uma cestinha.
Leve ao forno por alguns minutos.
Misture atum, cottage e tomate.
Recheie a cestinha.
Finalize com orégano.</t>
  </si>
  <si>
    <t>Cestinha Proteica de Atum e Cottage servido em prato claro, porção individual bem montada, com os ingredientes principais visíveis e aparência caseira natural.</t>
  </si>
  <si>
    <t>NL-394</t>
  </si>
  <si>
    <t>Batata Pequena Recheada com Frango e Cottage</t>
  </si>
  <si>
    <t>120 g de batata inglesa
90 g de frango desfiado
40 g de cottage
Cebolinha e páprica a gosto</t>
  </si>
  <si>
    <t>Cozinhe ou asse a batata.
Abra ao meio e retire uma pequena parte do miolo.
Misture o frango com cottage.
Recheie a batata.
Leve ao forno para aquecer.</t>
  </si>
  <si>
    <t>Batata Pequena Recheada com Frango e Cottage servido em prato claro, porção individual bem montada, com os ingredientes principais visíveis e aparência caseira natural.</t>
  </si>
  <si>
    <t>NL-395</t>
  </si>
  <si>
    <t>Mini Quiche Proteica de Frango sem Massa</t>
  </si>
  <si>
    <t>1 ovo
3 claras
70 g de frango desfiado
40 g de cottage
30 g de tomate
Temperos a gosto</t>
  </si>
  <si>
    <t>Bata o ovo e as claras.
Misture cottage, frango e tomate.
Distribua em forminhas.
Asse a 180 °C por aproximadamente 20 minutos.</t>
  </si>
  <si>
    <t>Mini Quiche Proteica de Frango sem Massa em porção individual sobre prato claro, corte ou interior visível e superfície levemente dourada.</t>
  </si>
  <si>
    <t>NL-396</t>
  </si>
  <si>
    <t>Pão de Frigideira Proteico com Frango</t>
  </si>
  <si>
    <t>Massa
1 ovo
30 g de farinha de aveia sem glúten
40 g de cottage
1/2 colher de chá de fermento
Recheio
70 g de frango desfiado</t>
  </si>
  <si>
    <t>Misture ovo, aveia, cottage e fermento.
Coloque metade em uma frigideira pequena.
Acrescente o frango.
Cubra com o restante.
Cozinhe dos dois lados em fogo baixo.</t>
  </si>
  <si>
    <t>Pão de Frigideira Proteico com Frango montado em prato claro, recheio visível e ingredientes distribuídos de forma fiel à receita.</t>
  </si>
  <si>
    <t>NL-397</t>
  </si>
  <si>
    <t>Bolinho Salgado Proteico de Carne e Queijo</t>
  </si>
  <si>
    <t>100 g de patinho moído
1 ovo
30 g de queijo minas
15 g de farinha de aveia sem glúten
Cebola, salsinha e páprica a gosto</t>
  </si>
  <si>
    <t>Misture a carne, o ovo, a aveia e os temperos.
Modele os bolinhos.
Coloque um pequeno pedaço de queijo no centro.
Feche bem.
Asse ou prepare na airfryer até dourar.</t>
  </si>
  <si>
    <t>Bolinho Salgado Proteico de Carne e Queijo em porção individual sobre prato claro, corte ou interior visível e superfície levemente dourada.</t>
  </si>
  <si>
    <t>NL-398</t>
  </si>
  <si>
    <t>Creme Proteico de Chocolate com Morango</t>
  </si>
  <si>
    <t>170 g de iogurte proteico natural
25 g de whey protein
5 g de cacau em pó
80 g de morangos
Adoçante opcional</t>
  </si>
  <si>
    <t>Misture o iogurte com whey e cacau.
Mexa até formar um creme uniforme.
Finalize com os morangos.</t>
  </si>
  <si>
    <t>Creme Proteico de Chocolate com Morango servido em tigela clara, textura cremosa e acabamento com ervas ou ingrediente principal aparente.</t>
  </si>
  <si>
    <t>NL-399</t>
  </si>
  <si>
    <t>Mousse Proteica de Limão</t>
  </si>
  <si>
    <t>170 g de iogurte proteico
25 g de whey sabor baunilha
15 ml de suco de limão
Raspas de limão a gosto</t>
  </si>
  <si>
    <t>Misture o iogurte com o whey.
Acrescente o limão aos poucos.
Mexa até ficar cremoso.
Finalize com raspas.
Leve à geladeira antes de servir.</t>
  </si>
  <si>
    <t>Mousse Proteica de Limão servido em prato claro, porção individual bem montada, com os ingredientes principais visíveis e aparência caseira natural.</t>
  </si>
  <si>
    <t>NL-400</t>
  </si>
  <si>
    <t>Cheesecake Proteico de Taça com Frutas Vermelhas</t>
  </si>
  <si>
    <t>150 g de iogurte proteico
50 g de cottage
20 g de whey sabor baunilha
80 g de frutas vermelhas
Adoçante opcional</t>
  </si>
  <si>
    <t>Bata ou misture iogurte, cottage e whey.
Coloque em uma taça.
Cubra com as frutas.
Leve à geladeira por 30 minutos.</t>
  </si>
  <si>
    <t>Cheesecake Proteico de Taça com Frutas Vermelhas servido em prato claro, porção individual bem montada, com os ingredientes principais visíveis e aparência caseira natural.</t>
  </si>
  <si>
    <t>NL-401</t>
  </si>
  <si>
    <t>Sorvete Proteico de Banana e Whey</t>
  </si>
  <si>
    <t>80 g de banana congelada
30 g de whey protein
100 g de iogurte proteico
Canela a gosto</t>
  </si>
  <si>
    <t>Bata a banana congelada com o iogurte.
Acrescente o whey.
Bata até ficar cremoso.
Consuma imediatamente ou leve ao congelador por 30 minutos.</t>
  </si>
  <si>
    <t>Sorvete Proteico de Banana e Whey servido em prato claro, porção individual bem montada, com os ingredientes principais visíveis e aparência caseira natural.</t>
  </si>
  <si>
    <t>NL-402</t>
  </si>
  <si>
    <t>Pudim Proteico de Café</t>
  </si>
  <si>
    <t>170 g de iogurte proteico
25 g de whey sabor baunilha
30 ml de café forte frio
5 g de chia
Adoçante a gosto</t>
  </si>
  <si>
    <t>Misture o iogurte, whey e café.
Acrescente a chia.
Mexa novamente após 5 minutos.
Leve à geladeira por pelo menos 2 horas.</t>
  </si>
  <si>
    <t>Pudim Proteico de Café servido em prato claro, porção individual bem montada, com os ingredientes principais visíveis e aparência caseira natural.</t>
  </si>
  <si>
    <t>NL-403</t>
  </si>
  <si>
    <t>Panqueca Proteica de Cacau e Banana</t>
  </si>
  <si>
    <t>1 ovo
3 claras
20 g de whey
50 g de banana
5 g de cacau
Canela a gosto</t>
  </si>
  <si>
    <t>Amasse a banana.
Misture com ovo, claras, whey e cacau.
Coloque em frigideira antiaderente.
Cozinhe dos dois lados.</t>
  </si>
  <si>
    <t>Panqueca Proteica de Cacau e Banana em porção individual sobre prato claro, corte ou interior visível e superfície levemente dourada.</t>
  </si>
  <si>
    <t>NL-404</t>
  </si>
  <si>
    <t>Bowl Proteico de Iogurte, Mamão e Leite em Pó</t>
  </si>
  <si>
    <t>170 g de iogurte proteico
20 g de whey
100 g de mamão
15 g de leite em pó desnatado
Canela a gosto</t>
  </si>
  <si>
    <t>Misture o iogurte com o whey.
Acrescente o mamão.
Polvilhe leite em pó e canela.</t>
  </si>
  <si>
    <t>Bowl Proteico de Iogurte, Mamão e Leite em Pó servido em prato claro, porção individual bem montada, com os ingredientes principais visíveis e aparência caseira natural.</t>
  </si>
  <si>
    <t>NL-405</t>
  </si>
  <si>
    <t>Creme Proteico de Coco e Abacaxi</t>
  </si>
  <si>
    <t>170 g de iogurte proteico
25 g de whey sabor baunilha
80 g de abacaxi picado
5 g de coco ralado sem açúcar</t>
  </si>
  <si>
    <t>Misture o iogurte com o whey.
Acrescente metade do abacaxi.
Finalize com o restante da fruta e o coco.</t>
  </si>
  <si>
    <t>Creme Proteico de Coco e Abacaxi servido em tigela clara, textura cremosa e acabamento com ervas ou ingrediente principal aparente.</t>
  </si>
  <si>
    <t>NL-406</t>
  </si>
  <si>
    <t>Bolo Proteico de Caneca de Banana e Canela</t>
  </si>
  <si>
    <t>1 ovo
25 g de whey
40 g de banana amassada
15 g de farinha de aveia sem glúten
30 g de iogurte natural
1/2 colher de chá de fermento
Canela a gosto</t>
  </si>
  <si>
    <t>Misture todos os ingredientes, deixando o fermento por último.
Coloque em caneca grande.
Leve ao micro-ondas por aproximadamente 1 minuto e 30 segundos a 2 minutos.
Aguarde alguns minutos antes de consumir.</t>
  </si>
  <si>
    <t>Bolo Proteico de Caneca de Banana e Canela em porção individual sobre prato claro, corte ou interior visível e superfície levemente dourada.</t>
  </si>
  <si>
    <t>NL-407</t>
  </si>
  <si>
    <t>Creme Gelado Proteico de Doce de Leite</t>
  </si>
  <si>
    <t>170 g de iogurte proteico
25 g de whey sabor baunilha
15 g de doce de leite
Canela ou flor de sal, opcional</t>
  </si>
  <si>
    <t>Misture o iogurte com o whey.
Acrescente metade do doce de leite e misture levemente.
Finalize com o restante por cima.
Leve à geladeira por 20 a 30 minutos antes de servir.</t>
  </si>
  <si>
    <t>Creme Gelado Proteico de Doce de Leite servido em tigela clara, textura cremosa e acabamento com ervas ou ingrediente principal aparente.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</si>
</sst>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name val="Carlito"/>
    </font>
    <font>
      <b/>
      <sz val="10"/>
      <color rgb="FFFFFFFF"/>
      <name val="Carlito"/>
    </font>
    <font>
      <sz val="9"/>
      <color rgb="FF28342E"/>
      <name val="Carlito"/>
    </font>
    <font>
      <b/>
      <sz val="18"/>
      <color rgb="FFFFFFFF"/>
      <name val="Carlito"/>
    </font>
    <font>
      <i/>
      <sz val="10"/>
      <color rgb="FF385A49"/>
      <name val="Carlito"/>
    </font>
    <font>
      <b/>
      <sz val="11"/>
      <color rgb="FF284437"/>
      <name val="Carlito"/>
    </font>
    <font>
      <sz val="10"/>
      <color rgb="FF6F5500"/>
      <name val="Carlito"/>
    </font>
    <font>
      <b/>
      <sz val="11"/>
      <color rgb="FFFFFFFF"/>
      <name val="Carlito"/>
    </font>
  </fonts>
  <fills count="6">
    <fill>
      <patternFill patternType="none"/>
    </fill>
    <fill>
      <patternFill patternType="gray125"/>
    </fill>
    <fill>
      <patternFill patternType="solid">
        <fgColor rgb="FF385A49"/>
      </patternFill>
    </fill>
    <fill>
      <patternFill patternType="solid">
        <fgColor rgb="FFEAF2ED"/>
      </patternFill>
    </fill>
    <fill>
      <patternFill patternType="solid">
        <fgColor rgb="FFD8E8DD"/>
      </patternFill>
    </fill>
    <fill>
      <patternFill patternType="solid">
        <fgColor rgb="FFFFF5D9"/>
      </patternFill>
    </fill>
  </fills>
  <borders count="14">
    <border>
      <left/>
      <right/>
      <top/>
      <bottom/>
      <diagonal/>
    </border>
    <border>
      <left style="thin">
        <color rgb="FF294537"/>
      </left>
      <right/>
      <top style="thin">
        <color rgb="FF294537"/>
      </top>
      <bottom style="thin">
        <color rgb="FF294537"/>
      </bottom>
      <diagonal/>
    </border>
    <border>
      <left/>
      <right/>
      <top style="thin">
        <color rgb="FF294537"/>
      </top>
      <bottom style="thin">
        <color rgb="FF294537"/>
      </bottom>
      <diagonal/>
    </border>
    <border>
      <left/>
      <right/>
      <top/>
      <bottom style="thin">
        <color rgb="FFE1E8E3"/>
      </bottom>
      <diagonal/>
    </border>
    <border>
      <left/>
      <right/>
      <top style="thin">
        <color rgb="FFE1E8E3"/>
      </top>
      <bottom style="thin">
        <color rgb="FFE1E8E3"/>
      </bottom>
      <diagonal/>
    </border>
    <border>
      <left/>
      <right/>
      <top style="thin">
        <color rgb="FFE1E8E3"/>
      </top>
      <bottom/>
      <diagonal/>
    </border>
    <border>
      <left style="thin">
        <color rgb="FFE5C96C"/>
      </left>
      <right/>
      <top style="thin">
        <color rgb="FFE5C96C"/>
      </top>
      <bottom/>
      <diagonal/>
    </border>
    <border>
      <left/>
      <right/>
      <top style="thin">
        <color rgb="FFE5C96C"/>
      </top>
      <bottom/>
      <diagonal/>
    </border>
    <border>
      <left/>
      <right style="thin">
        <color rgb="FFE5C96C"/>
      </right>
      <top style="thin">
        <color rgb="FFE5C96C"/>
      </top>
      <bottom/>
      <diagonal/>
    </border>
    <border>
      <left style="thin">
        <color rgb="FFE5C96C"/>
      </left>
      <right/>
      <top/>
      <bottom/>
      <diagonal/>
    </border>
    <border>
      <left/>
      <right style="thin">
        <color rgb="FFE5C96C"/>
      </right>
      <top/>
      <bottom/>
      <diagonal/>
    </border>
    <border>
      <left style="thin">
        <color rgb="FFE5C96C"/>
      </left>
      <right/>
      <top/>
      <bottom style="thin">
        <color rgb="FFE5C96C"/>
      </bottom>
      <diagonal/>
    </border>
    <border>
      <left/>
      <right/>
      <top/>
      <bottom style="thin">
        <color rgb="FFE5C96C"/>
      </bottom>
      <diagonal/>
    </border>
    <border>
      <left/>
      <right style="thin">
        <color rgb="FFE5C96C"/>
      </right>
      <top/>
      <bottom style="thin">
        <color rgb="FFE5C96C"/>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5" fillId="4" borderId="0" xfId="0" applyFont="1" applyFill="1"/>
    <xf numFmtId="0" fontId="7" fillId="2" borderId="0" xfId="0" applyFont="1" applyFill="1" applyAlignment="1">
      <alignment wrapText="1"/>
    </xf>
    <xf numFmtId="0" fontId="0" fillId="0" borderId="0" xfId="0" applyAlignment="1">
      <alignment vertical="top" wrapText="1"/>
    </xf>
    <xf numFmtId="164" fontId="2" fillId="0" borderId="3" xfId="0" applyNumberFormat="1" applyFont="1" applyBorder="1" applyAlignment="1">
      <alignment horizontal="center" vertical="top"/>
    </xf>
    <xf numFmtId="164" fontId="2" fillId="0" borderId="4" xfId="0" applyNumberFormat="1" applyFont="1" applyBorder="1" applyAlignment="1">
      <alignment horizontal="center" vertical="top"/>
    </xf>
    <xf numFmtId="164" fontId="2" fillId="0" borderId="5" xfId="0" applyNumberFormat="1" applyFont="1" applyBorder="1" applyAlignment="1">
      <alignment horizontal="center" vertical="top"/>
    </xf>
    <xf numFmtId="164" fontId="0" fillId="0" borderId="0" xfId="0" applyNumberFormat="1" applyAlignment="1">
      <alignment horizontal="center"/>
    </xf>
    <xf numFmtId="0" fontId="3" fillId="2" borderId="0" xfId="0" applyFont="1" applyFill="1" applyAlignment="1">
      <alignment horizontal="left" vertical="center"/>
    </xf>
    <xf numFmtId="0" fontId="4" fillId="3" borderId="0" xfId="0" applyFont="1" applyFill="1"/>
    <xf numFmtId="0" fontId="6" fillId="5" borderId="6" xfId="0" applyFont="1" applyFill="1" applyBorder="1" applyAlignment="1">
      <alignment vertical="top" wrapText="1"/>
    </xf>
    <xf numFmtId="0" fontId="6" fillId="5" borderId="7" xfId="0" applyFont="1" applyFill="1" applyBorder="1" applyAlignment="1">
      <alignment vertical="top" wrapText="1"/>
    </xf>
    <xf numFmtId="0" fontId="6" fillId="5" borderId="8" xfId="0" applyFont="1" applyFill="1" applyBorder="1" applyAlignment="1">
      <alignment vertical="top" wrapText="1"/>
    </xf>
    <xf numFmtId="0" fontId="6" fillId="5" borderId="9" xfId="0" applyFont="1" applyFill="1" applyBorder="1" applyAlignment="1">
      <alignment vertical="top" wrapText="1"/>
    </xf>
    <xf numFmtId="0" fontId="6" fillId="5" borderId="0" xfId="0" applyFont="1" applyFill="1" applyAlignment="1">
      <alignment vertical="top" wrapText="1"/>
    </xf>
    <xf numFmtId="0" fontId="6" fillId="5" borderId="10" xfId="0" applyFont="1" applyFill="1" applyBorder="1" applyAlignment="1">
      <alignment vertical="top" wrapText="1"/>
    </xf>
    <xf numFmtId="0" fontId="6" fillId="5" borderId="11" xfId="0" applyFont="1" applyFill="1" applyBorder="1" applyAlignment="1">
      <alignment vertical="top" wrapText="1"/>
    </xf>
    <xf numFmtId="0" fontId="6" fillId="5" borderId="12" xfId="0" applyFont="1" applyFill="1" applyBorder="1" applyAlignment="1">
      <alignment vertical="top" wrapText="1"/>
    </xf>
    <xf numFmtId="0" fontId="6" fillId="5" borderId="1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ceitasNutriLu" displayName="ReceitasNutriLu" ref="A1:Q408" totalsRowShown="0">
  <autoFilter ref="A1:Q408" xr:uid="{00000000-0009-0000-0100-000001000000}"/>
  <tableColumns count="17">
    <tableColumn id="1" xr3:uid="{00000000-0010-0000-0000-000001000000}" name="ID"/>
    <tableColumn id="2" xr3:uid="{00000000-0010-0000-0000-000002000000}" name="Nome da receita"/>
    <tableColumn id="3" xr3:uid="{00000000-0010-0000-0000-000003000000}" name="Refeição(ões)"/>
    <tableColumn id="4" xr3:uid="{00000000-0010-0000-0000-000004000000}" name="Categorias / restrições"/>
    <tableColumn id="5" xr3:uid="{00000000-0010-0000-0000-000005000000}" name="Tempo de preparo"/>
    <tableColumn id="6" xr3:uid="{00000000-0010-0000-0000-000006000000}" name="Dificuldade"/>
    <tableColumn id="7" xr3:uid="{00000000-0010-0000-0000-000007000000}" name="Ingredientes padronizados"/>
    <tableColumn id="8" xr3:uid="{00000000-0010-0000-0000-000008000000}" name="Modo de preparo"/>
    <tableColumn id="9" xr3:uid="{00000000-0010-0000-0000-000009000000}" name="Rendimento"/>
    <tableColumn id="10" xr3:uid="{00000000-0010-0000-0000-00000A000000}" name="Calorias (kcal/porção)"/>
    <tableColumn id="11" xr3:uid="{00000000-0010-0000-0000-00000B000000}" name="Proteínas (g/porção)"/>
    <tableColumn id="12" xr3:uid="{00000000-0010-0000-0000-00000C000000}" name="Carboidratos (g/porção)"/>
    <tableColumn id="13" xr3:uid="{00000000-0010-0000-0000-00000D000000}" name="Gorduras (g/porção)"/>
    <tableColumn id="14" xr3:uid="{00000000-0010-0000-0000-00000E000000}" name="Fibras (g/porção)"/>
    <tableColumn id="15" xr3:uid="{00000000-0010-0000-0000-00000F000000}" name="Conservação"/>
    <tableColumn id="16" xr3:uid="{00000000-0010-0000-0000-000010000000}" name="Substituições"/>
    <tableColumn id="17" xr3:uid="{00000000-0010-0000-0000-000011000000}" name="Descrição para foto I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cionarioReceitas" displayName="DicionarioReceitas" ref="A1:C28" totalsRowShown="0">
  <tableColumns count="3">
    <tableColumn id="1" xr3:uid="{00000000-0010-0000-0100-000001000000}" name="#"/>
    <tableColumn id="2" xr3:uid="{00000000-0010-0000-0100-000002000000}" name="Campo"/>
    <tableColumn id="3" xr3:uid="{00000000-0010-0000-0100-000003000000}" name="Tip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08"/>
  <sheetViews>
    <sheetView showGridLines="0" tabSelected="1" topLeftCell="A407" workbookViewId="0"/>
  </sheetViews>
  <sheetFormatPr baseColWidth="10" defaultColWidth="8.83203125" defaultRowHeight="15"/>
  <cols>
    <col min="1" max="1" width="11" customWidth="1"/>
    <col min="2" max="2" width="13" customWidth="1"/>
    <col min="3" max="3" width="32" customWidth="1"/>
    <col min="4" max="4" width="25" customWidth="1"/>
    <col min="5" max="5" width="34.5" customWidth="1"/>
    <col min="6" max="7" width="14" customWidth="1"/>
    <col min="8" max="8" width="13" customWidth="1"/>
    <col min="9" max="9" width="20.83203125" customWidth="1"/>
    <col min="10" max="10" width="18" customWidth="1"/>
    <col min="11" max="11" width="14" customWidth="1"/>
    <col min="12" max="12" width="15" customWidth="1"/>
    <col min="13" max="14" width="18" customWidth="1"/>
    <col min="15" max="15" width="17" customWidth="1"/>
    <col min="16" max="17" width="32" customWidth="1"/>
    <col min="18" max="18" width="30" customWidth="1"/>
    <col min="19" max="20" width="42" customWidth="1"/>
  </cols>
  <sheetData>
    <row r="1" spans="1:17" ht="2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20" customHeight="1">
      <c r="A2" s="3" t="s">
        <v>17</v>
      </c>
      <c r="B2" s="3" t="s">
        <v>18</v>
      </c>
      <c r="C2" s="3" t="s">
        <v>19</v>
      </c>
      <c r="D2" s="3" t="s">
        <v>20</v>
      </c>
      <c r="E2" s="3" t="s">
        <v>21</v>
      </c>
      <c r="F2" s="3" t="s">
        <v>22</v>
      </c>
      <c r="G2" s="3" t="s">
        <v>23</v>
      </c>
      <c r="H2" s="3" t="s">
        <v>24</v>
      </c>
      <c r="I2" s="3" t="s">
        <v>25</v>
      </c>
      <c r="J2" s="9">
        <v>113</v>
      </c>
      <c r="K2" s="9">
        <v>0.2</v>
      </c>
      <c r="L2" s="9">
        <v>4.3</v>
      </c>
      <c r="M2" s="9">
        <v>10.9</v>
      </c>
      <c r="N2" s="9">
        <v>0.3</v>
      </c>
      <c r="O2" s="3" t="s">
        <v>26</v>
      </c>
      <c r="P2" s="3" t="s">
        <v>27</v>
      </c>
      <c r="Q2" s="3" t="s">
        <v>28</v>
      </c>
    </row>
    <row r="3" spans="1:17" ht="120" customHeight="1">
      <c r="A3" s="4" t="s">
        <v>29</v>
      </c>
      <c r="B3" s="4" t="s">
        <v>30</v>
      </c>
      <c r="C3" s="4" t="s">
        <v>31</v>
      </c>
      <c r="D3" s="4" t="s">
        <v>32</v>
      </c>
      <c r="E3" s="4" t="s">
        <v>33</v>
      </c>
      <c r="F3" s="4" t="s">
        <v>22</v>
      </c>
      <c r="G3" s="4" t="s">
        <v>34</v>
      </c>
      <c r="H3" s="4" t="s">
        <v>35</v>
      </c>
      <c r="I3" s="4" t="s">
        <v>25</v>
      </c>
      <c r="J3" s="10">
        <v>253</v>
      </c>
      <c r="K3" s="10">
        <v>22</v>
      </c>
      <c r="L3" s="10">
        <v>10</v>
      </c>
      <c r="M3" s="10">
        <v>14</v>
      </c>
      <c r="N3" s="10">
        <v>2.5</v>
      </c>
      <c r="O3" s="4" t="s">
        <v>36</v>
      </c>
      <c r="P3" s="4" t="s">
        <v>37</v>
      </c>
      <c r="Q3" s="4" t="s">
        <v>38</v>
      </c>
    </row>
    <row r="4" spans="1:17" ht="120" customHeight="1">
      <c r="A4" s="4" t="s">
        <v>39</v>
      </c>
      <c r="B4" s="4" t="s">
        <v>40</v>
      </c>
      <c r="C4" s="4" t="s">
        <v>41</v>
      </c>
      <c r="D4" s="4" t="s">
        <v>42</v>
      </c>
      <c r="E4" s="4" t="s">
        <v>33</v>
      </c>
      <c r="F4" s="4" t="s">
        <v>22</v>
      </c>
      <c r="G4" s="4" t="s">
        <v>43</v>
      </c>
      <c r="H4" s="4" t="s">
        <v>44</v>
      </c>
      <c r="I4" s="4" t="s">
        <v>45</v>
      </c>
      <c r="J4" s="10">
        <v>257</v>
      </c>
      <c r="K4" s="10">
        <v>16</v>
      </c>
      <c r="L4" s="10">
        <v>18</v>
      </c>
      <c r="M4" s="10">
        <v>14</v>
      </c>
      <c r="N4" s="10">
        <v>5</v>
      </c>
      <c r="O4" s="4" t="s">
        <v>46</v>
      </c>
      <c r="P4" s="4" t="s">
        <v>47</v>
      </c>
      <c r="Q4" s="4" t="s">
        <v>48</v>
      </c>
    </row>
    <row r="5" spans="1:17" ht="120" customHeight="1">
      <c r="A5" s="4" t="s">
        <v>49</v>
      </c>
      <c r="B5" s="4" t="s">
        <v>50</v>
      </c>
      <c r="C5" s="4" t="s">
        <v>41</v>
      </c>
      <c r="D5" s="4" t="s">
        <v>51</v>
      </c>
      <c r="E5" s="4" t="s">
        <v>52</v>
      </c>
      <c r="F5" s="4" t="s">
        <v>22</v>
      </c>
      <c r="G5" s="4" t="s">
        <v>53</v>
      </c>
      <c r="H5" s="4" t="s">
        <v>54</v>
      </c>
      <c r="I5" s="4" t="s">
        <v>55</v>
      </c>
      <c r="J5" s="10">
        <v>235</v>
      </c>
      <c r="K5" s="10">
        <v>7</v>
      </c>
      <c r="L5" s="10">
        <v>18</v>
      </c>
      <c r="M5" s="10">
        <v>16</v>
      </c>
      <c r="N5" s="10">
        <v>5</v>
      </c>
      <c r="O5" s="4" t="s">
        <v>56</v>
      </c>
      <c r="P5" s="4" t="s">
        <v>57</v>
      </c>
      <c r="Q5" s="4" t="s">
        <v>58</v>
      </c>
    </row>
    <row r="6" spans="1:17" ht="120" customHeight="1">
      <c r="A6" s="4" t="s">
        <v>59</v>
      </c>
      <c r="B6" s="4" t="s">
        <v>60</v>
      </c>
      <c r="C6" s="4" t="s">
        <v>61</v>
      </c>
      <c r="D6" s="4" t="s">
        <v>62</v>
      </c>
      <c r="E6" s="4" t="s">
        <v>63</v>
      </c>
      <c r="F6" s="4" t="s">
        <v>22</v>
      </c>
      <c r="G6" s="4" t="s">
        <v>64</v>
      </c>
      <c r="H6" s="4" t="s">
        <v>65</v>
      </c>
      <c r="I6" s="4" t="s">
        <v>66</v>
      </c>
      <c r="J6" s="10">
        <v>276</v>
      </c>
      <c r="K6" s="10">
        <v>25</v>
      </c>
      <c r="L6" s="10">
        <v>21</v>
      </c>
      <c r="M6" s="10">
        <v>10</v>
      </c>
      <c r="N6" s="10">
        <v>2</v>
      </c>
      <c r="O6" s="4" t="s">
        <v>67</v>
      </c>
      <c r="P6" s="4" t="s">
        <v>68</v>
      </c>
      <c r="Q6" s="4" t="s">
        <v>69</v>
      </c>
    </row>
    <row r="7" spans="1:17" ht="120" customHeight="1">
      <c r="A7" s="4" t="s">
        <v>70</v>
      </c>
      <c r="B7" s="4" t="s">
        <v>71</v>
      </c>
      <c r="C7" s="4" t="s">
        <v>72</v>
      </c>
      <c r="D7" s="4" t="s">
        <v>73</v>
      </c>
      <c r="E7" s="4" t="s">
        <v>74</v>
      </c>
      <c r="F7" s="4" t="s">
        <v>22</v>
      </c>
      <c r="G7" s="4" t="s">
        <v>75</v>
      </c>
      <c r="H7" s="4" t="s">
        <v>76</v>
      </c>
      <c r="I7" s="4" t="s">
        <v>77</v>
      </c>
      <c r="J7" s="10">
        <v>185</v>
      </c>
      <c r="K7" s="10">
        <v>2</v>
      </c>
      <c r="L7" s="10">
        <v>7</v>
      </c>
      <c r="M7" s="10">
        <v>17</v>
      </c>
      <c r="N7" s="10">
        <v>2</v>
      </c>
      <c r="O7" s="4" t="s">
        <v>78</v>
      </c>
      <c r="P7" s="4" t="s">
        <v>79</v>
      </c>
      <c r="Q7" s="4" t="s">
        <v>80</v>
      </c>
    </row>
    <row r="8" spans="1:17" ht="120" customHeight="1">
      <c r="A8" s="4" t="s">
        <v>81</v>
      </c>
      <c r="B8" s="4" t="s">
        <v>82</v>
      </c>
      <c r="C8" s="4" t="s">
        <v>41</v>
      </c>
      <c r="D8" s="4" t="s">
        <v>83</v>
      </c>
      <c r="E8" s="4" t="s">
        <v>33</v>
      </c>
      <c r="F8" s="4" t="s">
        <v>84</v>
      </c>
      <c r="G8" s="4" t="s">
        <v>85</v>
      </c>
      <c r="H8" s="4" t="s">
        <v>86</v>
      </c>
      <c r="I8" s="4" t="s">
        <v>87</v>
      </c>
      <c r="J8" s="10">
        <v>350</v>
      </c>
      <c r="K8" s="10">
        <v>23</v>
      </c>
      <c r="L8" s="10">
        <v>26</v>
      </c>
      <c r="M8" s="10">
        <v>18</v>
      </c>
      <c r="N8" s="10">
        <v>3</v>
      </c>
      <c r="O8" s="4" t="s">
        <v>88</v>
      </c>
      <c r="P8" s="4" t="s">
        <v>89</v>
      </c>
      <c r="Q8" s="4" t="s">
        <v>90</v>
      </c>
    </row>
    <row r="9" spans="1:17" ht="120" customHeight="1">
      <c r="A9" s="4" t="s">
        <v>91</v>
      </c>
      <c r="B9" s="4" t="s">
        <v>92</v>
      </c>
      <c r="C9" s="4" t="s">
        <v>93</v>
      </c>
      <c r="D9" s="4" t="s">
        <v>94</v>
      </c>
      <c r="E9" s="4" t="s">
        <v>52</v>
      </c>
      <c r="F9" s="4" t="s">
        <v>22</v>
      </c>
      <c r="G9" s="4" t="s">
        <v>95</v>
      </c>
      <c r="H9" s="4" t="s">
        <v>96</v>
      </c>
      <c r="I9" s="4" t="s">
        <v>97</v>
      </c>
      <c r="J9" s="10">
        <v>245</v>
      </c>
      <c r="K9" s="10">
        <v>7</v>
      </c>
      <c r="L9" s="10">
        <v>27</v>
      </c>
      <c r="M9" s="10">
        <v>12</v>
      </c>
      <c r="N9" s="10">
        <v>4</v>
      </c>
      <c r="O9" s="4" t="s">
        <v>98</v>
      </c>
      <c r="P9" s="4" t="s">
        <v>99</v>
      </c>
      <c r="Q9" s="4" t="s">
        <v>100</v>
      </c>
    </row>
    <row r="10" spans="1:17" ht="120" customHeight="1">
      <c r="A10" s="4" t="s">
        <v>101</v>
      </c>
      <c r="B10" s="4" t="s">
        <v>102</v>
      </c>
      <c r="C10" s="4" t="s">
        <v>41</v>
      </c>
      <c r="D10" s="4" t="s">
        <v>103</v>
      </c>
      <c r="E10" s="4" t="s">
        <v>52</v>
      </c>
      <c r="F10" s="4" t="s">
        <v>22</v>
      </c>
      <c r="G10" s="4" t="s">
        <v>104</v>
      </c>
      <c r="H10" s="4" t="s">
        <v>105</v>
      </c>
      <c r="I10" s="4" t="s">
        <v>77</v>
      </c>
      <c r="J10" s="10">
        <v>255</v>
      </c>
      <c r="K10" s="10">
        <v>31</v>
      </c>
      <c r="L10" s="10">
        <v>15</v>
      </c>
      <c r="M10" s="10">
        <v>8</v>
      </c>
      <c r="N10" s="10">
        <v>5</v>
      </c>
      <c r="O10" s="4" t="s">
        <v>106</v>
      </c>
      <c r="P10" s="4" t="s">
        <v>107</v>
      </c>
      <c r="Q10" s="4" t="s">
        <v>108</v>
      </c>
    </row>
    <row r="11" spans="1:17" ht="120" customHeight="1">
      <c r="A11" s="4" t="s">
        <v>109</v>
      </c>
      <c r="B11" s="4" t="s">
        <v>110</v>
      </c>
      <c r="C11" s="4" t="s">
        <v>41</v>
      </c>
      <c r="D11" s="4" t="s">
        <v>111</v>
      </c>
      <c r="E11" s="4" t="s">
        <v>63</v>
      </c>
      <c r="F11" s="4" t="s">
        <v>84</v>
      </c>
      <c r="G11" s="4" t="s">
        <v>112</v>
      </c>
      <c r="H11" s="4" t="s">
        <v>113</v>
      </c>
      <c r="I11" s="4" t="s">
        <v>77</v>
      </c>
      <c r="J11" s="10">
        <v>523</v>
      </c>
      <c r="K11" s="10">
        <v>34</v>
      </c>
      <c r="L11" s="10">
        <v>43</v>
      </c>
      <c r="M11" s="10">
        <v>20</v>
      </c>
      <c r="N11" s="10">
        <v>2</v>
      </c>
      <c r="O11" s="4" t="s">
        <v>114</v>
      </c>
      <c r="P11" s="4" t="s">
        <v>115</v>
      </c>
      <c r="Q11" s="4" t="s">
        <v>116</v>
      </c>
    </row>
    <row r="12" spans="1:17" ht="120" customHeight="1">
      <c r="A12" s="4" t="s">
        <v>117</v>
      </c>
      <c r="B12" s="4" t="s">
        <v>118</v>
      </c>
      <c r="C12" s="4" t="s">
        <v>119</v>
      </c>
      <c r="D12" s="4" t="s">
        <v>120</v>
      </c>
      <c r="E12" s="4" t="s">
        <v>74</v>
      </c>
      <c r="F12" s="4" t="s">
        <v>22</v>
      </c>
      <c r="G12" s="4" t="s">
        <v>121</v>
      </c>
      <c r="H12" s="4" t="s">
        <v>122</v>
      </c>
      <c r="I12" s="4" t="s">
        <v>123</v>
      </c>
      <c r="J12" s="10">
        <v>480</v>
      </c>
      <c r="K12" s="10">
        <v>50</v>
      </c>
      <c r="L12" s="10">
        <v>5</v>
      </c>
      <c r="M12" s="10">
        <v>27.5</v>
      </c>
      <c r="N12" s="10">
        <v>1.5</v>
      </c>
      <c r="O12" s="4" t="s">
        <v>124</v>
      </c>
      <c r="P12" s="4" t="s">
        <v>125</v>
      </c>
      <c r="Q12" s="4" t="s">
        <v>126</v>
      </c>
    </row>
    <row r="13" spans="1:17" ht="120" customHeight="1">
      <c r="A13" s="4" t="s">
        <v>127</v>
      </c>
      <c r="B13" s="4" t="s">
        <v>128</v>
      </c>
      <c r="C13" s="4" t="s">
        <v>41</v>
      </c>
      <c r="D13" s="4" t="s">
        <v>129</v>
      </c>
      <c r="E13" s="4" t="s">
        <v>52</v>
      </c>
      <c r="F13" s="4" t="s">
        <v>22</v>
      </c>
      <c r="G13" s="4" t="s">
        <v>130</v>
      </c>
      <c r="H13" s="4" t="s">
        <v>131</v>
      </c>
      <c r="I13" s="4" t="s">
        <v>132</v>
      </c>
      <c r="J13" s="10">
        <v>175</v>
      </c>
      <c r="K13" s="10">
        <v>18.5</v>
      </c>
      <c r="L13" s="10">
        <v>5.5</v>
      </c>
      <c r="M13" s="10">
        <v>8.8000000000000007</v>
      </c>
      <c r="N13" s="10">
        <v>0.8</v>
      </c>
      <c r="O13" s="4" t="s">
        <v>88</v>
      </c>
      <c r="P13" s="4" t="s">
        <v>133</v>
      </c>
      <c r="Q13" s="4" t="s">
        <v>134</v>
      </c>
    </row>
    <row r="14" spans="1:17" ht="120" customHeight="1">
      <c r="A14" s="4" t="s">
        <v>135</v>
      </c>
      <c r="B14" s="4" t="s">
        <v>136</v>
      </c>
      <c r="C14" s="4" t="s">
        <v>41</v>
      </c>
      <c r="D14" s="4" t="s">
        <v>137</v>
      </c>
      <c r="E14" s="4" t="s">
        <v>52</v>
      </c>
      <c r="F14" s="4" t="s">
        <v>22</v>
      </c>
      <c r="G14" s="4" t="s">
        <v>138</v>
      </c>
      <c r="H14" s="4" t="s">
        <v>139</v>
      </c>
      <c r="I14" s="4" t="s">
        <v>55</v>
      </c>
      <c r="J14" s="10">
        <v>305</v>
      </c>
      <c r="K14" s="10">
        <v>22</v>
      </c>
      <c r="L14" s="10">
        <v>27</v>
      </c>
      <c r="M14" s="10">
        <v>12</v>
      </c>
      <c r="N14" s="10">
        <v>6</v>
      </c>
      <c r="O14" s="4" t="s">
        <v>124</v>
      </c>
      <c r="P14" s="4" t="s">
        <v>140</v>
      </c>
      <c r="Q14" s="4" t="s">
        <v>141</v>
      </c>
    </row>
    <row r="15" spans="1:17" ht="120" customHeight="1">
      <c r="A15" s="4" t="s">
        <v>142</v>
      </c>
      <c r="B15" s="4" t="s">
        <v>143</v>
      </c>
      <c r="C15" s="4" t="s">
        <v>119</v>
      </c>
      <c r="D15" s="4" t="s">
        <v>144</v>
      </c>
      <c r="E15" s="4" t="s">
        <v>21</v>
      </c>
      <c r="F15" s="4" t="s">
        <v>22</v>
      </c>
      <c r="G15" s="4" t="s">
        <v>145</v>
      </c>
      <c r="H15" s="4" t="s">
        <v>146</v>
      </c>
      <c r="I15" s="4" t="s">
        <v>147</v>
      </c>
      <c r="J15" s="10">
        <v>295</v>
      </c>
      <c r="K15" s="10">
        <v>27</v>
      </c>
      <c r="L15" s="10">
        <v>18</v>
      </c>
      <c r="M15" s="10">
        <v>12</v>
      </c>
      <c r="N15" s="10">
        <v>0.3</v>
      </c>
      <c r="O15" s="4" t="s">
        <v>148</v>
      </c>
      <c r="P15" s="4" t="s">
        <v>149</v>
      </c>
      <c r="Q15" s="4" t="s">
        <v>150</v>
      </c>
    </row>
    <row r="16" spans="1:17" ht="120" customHeight="1">
      <c r="A16" s="4" t="s">
        <v>151</v>
      </c>
      <c r="B16" s="4" t="s">
        <v>152</v>
      </c>
      <c r="C16" s="4" t="s">
        <v>153</v>
      </c>
      <c r="D16" s="4" t="s">
        <v>154</v>
      </c>
      <c r="E16" s="4" t="s">
        <v>74</v>
      </c>
      <c r="F16" s="4" t="s">
        <v>155</v>
      </c>
      <c r="G16" s="4" t="s">
        <v>156</v>
      </c>
      <c r="H16" s="4" t="s">
        <v>157</v>
      </c>
      <c r="I16" s="4" t="s">
        <v>158</v>
      </c>
      <c r="J16" s="10">
        <v>112</v>
      </c>
      <c r="K16" s="10">
        <v>10</v>
      </c>
      <c r="L16" s="10">
        <v>0.8</v>
      </c>
      <c r="M16" s="10">
        <v>7.2</v>
      </c>
      <c r="N16" s="10">
        <v>0</v>
      </c>
      <c r="O16" s="4" t="s">
        <v>159</v>
      </c>
      <c r="P16" s="4" t="s">
        <v>160</v>
      </c>
      <c r="Q16" s="4" t="s">
        <v>161</v>
      </c>
    </row>
    <row r="17" spans="1:17" ht="120" customHeight="1">
      <c r="A17" s="4" t="s">
        <v>162</v>
      </c>
      <c r="B17" s="4" t="s">
        <v>163</v>
      </c>
      <c r="C17" s="4" t="s">
        <v>164</v>
      </c>
      <c r="D17" s="4" t="s">
        <v>165</v>
      </c>
      <c r="E17" s="4" t="s">
        <v>63</v>
      </c>
      <c r="F17" s="4" t="s">
        <v>22</v>
      </c>
      <c r="G17" s="4" t="s">
        <v>166</v>
      </c>
      <c r="H17" s="4" t="s">
        <v>167</v>
      </c>
      <c r="I17" s="4" t="s">
        <v>168</v>
      </c>
      <c r="J17" s="10">
        <v>366</v>
      </c>
      <c r="K17" s="10">
        <v>44</v>
      </c>
      <c r="L17" s="10">
        <v>4</v>
      </c>
      <c r="M17" s="10">
        <v>19</v>
      </c>
      <c r="N17" s="10">
        <v>0.7</v>
      </c>
      <c r="O17" s="4" t="s">
        <v>169</v>
      </c>
      <c r="P17" s="4" t="s">
        <v>170</v>
      </c>
      <c r="Q17" s="4" t="s">
        <v>171</v>
      </c>
    </row>
    <row r="18" spans="1:17" ht="120" customHeight="1">
      <c r="A18" s="4" t="s">
        <v>172</v>
      </c>
      <c r="B18" s="4" t="s">
        <v>173</v>
      </c>
      <c r="C18" s="4" t="s">
        <v>174</v>
      </c>
      <c r="D18" s="4" t="s">
        <v>175</v>
      </c>
      <c r="E18" s="4" t="s">
        <v>63</v>
      </c>
      <c r="F18" s="4" t="s">
        <v>22</v>
      </c>
      <c r="G18" s="4" t="s">
        <v>176</v>
      </c>
      <c r="H18" s="4" t="s">
        <v>177</v>
      </c>
      <c r="I18" s="4" t="s">
        <v>178</v>
      </c>
      <c r="J18" s="10">
        <v>510</v>
      </c>
      <c r="K18" s="10">
        <v>41</v>
      </c>
      <c r="L18" s="10">
        <v>36</v>
      </c>
      <c r="M18" s="10">
        <v>21</v>
      </c>
      <c r="N18" s="10">
        <v>3</v>
      </c>
      <c r="O18" s="4" t="s">
        <v>179</v>
      </c>
      <c r="P18" s="4" t="s">
        <v>180</v>
      </c>
      <c r="Q18" s="4" t="s">
        <v>181</v>
      </c>
    </row>
    <row r="19" spans="1:17" ht="120" customHeight="1">
      <c r="A19" s="4" t="s">
        <v>182</v>
      </c>
      <c r="B19" s="4" t="s">
        <v>183</v>
      </c>
      <c r="C19" s="4" t="s">
        <v>184</v>
      </c>
      <c r="D19" s="4" t="s">
        <v>185</v>
      </c>
      <c r="E19" s="4" t="s">
        <v>74</v>
      </c>
      <c r="F19" s="4" t="s">
        <v>155</v>
      </c>
      <c r="G19" s="4" t="s">
        <v>186</v>
      </c>
      <c r="H19" s="4" t="s">
        <v>187</v>
      </c>
      <c r="I19" s="4" t="s">
        <v>188</v>
      </c>
      <c r="J19" s="10">
        <v>255</v>
      </c>
      <c r="K19" s="10">
        <v>10</v>
      </c>
      <c r="L19" s="10">
        <v>34</v>
      </c>
      <c r="M19" s="10">
        <v>8</v>
      </c>
      <c r="N19" s="10">
        <v>5</v>
      </c>
      <c r="O19" s="4" t="s">
        <v>189</v>
      </c>
      <c r="P19" s="4" t="s">
        <v>190</v>
      </c>
      <c r="Q19" s="4" t="s">
        <v>191</v>
      </c>
    </row>
    <row r="20" spans="1:17" ht="120" customHeight="1">
      <c r="A20" s="4" t="s">
        <v>192</v>
      </c>
      <c r="B20" s="4" t="s">
        <v>193</v>
      </c>
      <c r="C20" s="4" t="s">
        <v>194</v>
      </c>
      <c r="D20" s="4" t="s">
        <v>195</v>
      </c>
      <c r="E20" s="4" t="s">
        <v>21</v>
      </c>
      <c r="F20" s="4" t="s">
        <v>155</v>
      </c>
      <c r="G20" s="4" t="s">
        <v>196</v>
      </c>
      <c r="H20" s="4" t="s">
        <v>197</v>
      </c>
      <c r="I20" s="4" t="s">
        <v>188</v>
      </c>
      <c r="J20" s="10">
        <v>270</v>
      </c>
      <c r="K20" s="10">
        <v>19</v>
      </c>
      <c r="L20" s="10">
        <v>4</v>
      </c>
      <c r="M20" s="10">
        <v>20</v>
      </c>
      <c r="N20" s="10">
        <v>1</v>
      </c>
      <c r="O20" s="4" t="s">
        <v>198</v>
      </c>
      <c r="P20" s="4" t="s">
        <v>199</v>
      </c>
      <c r="Q20" s="4" t="s">
        <v>200</v>
      </c>
    </row>
    <row r="21" spans="1:17" ht="120" customHeight="1">
      <c r="A21" s="4" t="s">
        <v>201</v>
      </c>
      <c r="B21" s="4" t="s">
        <v>202</v>
      </c>
      <c r="C21" s="4" t="s">
        <v>203</v>
      </c>
      <c r="D21" s="4" t="s">
        <v>204</v>
      </c>
      <c r="E21" s="4" t="s">
        <v>74</v>
      </c>
      <c r="F21" s="4" t="s">
        <v>155</v>
      </c>
      <c r="G21" s="4" t="s">
        <v>205</v>
      </c>
      <c r="H21" s="4" t="s">
        <v>206</v>
      </c>
      <c r="I21" s="4" t="s">
        <v>87</v>
      </c>
      <c r="J21" s="10">
        <v>160</v>
      </c>
      <c r="K21" s="10">
        <v>16</v>
      </c>
      <c r="L21" s="10">
        <v>10</v>
      </c>
      <c r="M21" s="10">
        <v>6</v>
      </c>
      <c r="N21" s="10">
        <v>2</v>
      </c>
      <c r="O21" s="4" t="s">
        <v>207</v>
      </c>
      <c r="P21" s="4" t="s">
        <v>208</v>
      </c>
      <c r="Q21" s="4" t="s">
        <v>209</v>
      </c>
    </row>
    <row r="22" spans="1:17" ht="120" customHeight="1">
      <c r="A22" s="4" t="s">
        <v>210</v>
      </c>
      <c r="B22" s="4" t="s">
        <v>211</v>
      </c>
      <c r="C22" s="4" t="s">
        <v>212</v>
      </c>
      <c r="D22" s="4" t="s">
        <v>213</v>
      </c>
      <c r="E22" s="4" t="s">
        <v>214</v>
      </c>
      <c r="F22" s="4" t="s">
        <v>155</v>
      </c>
      <c r="G22" s="4" t="s">
        <v>215</v>
      </c>
      <c r="H22" s="4" t="s">
        <v>216</v>
      </c>
      <c r="I22" s="4" t="s">
        <v>188</v>
      </c>
      <c r="J22" s="10">
        <v>245</v>
      </c>
      <c r="K22" s="10">
        <v>16</v>
      </c>
      <c r="L22" s="10">
        <v>17</v>
      </c>
      <c r="M22" s="10">
        <v>13</v>
      </c>
      <c r="N22" s="10"/>
      <c r="O22" s="4" t="s">
        <v>106</v>
      </c>
      <c r="P22" s="4" t="s">
        <v>217</v>
      </c>
      <c r="Q22" s="4" t="s">
        <v>218</v>
      </c>
    </row>
    <row r="23" spans="1:17" ht="120" customHeight="1">
      <c r="A23" s="4" t="s">
        <v>219</v>
      </c>
      <c r="B23" s="4" t="s">
        <v>220</v>
      </c>
      <c r="C23" s="4" t="s">
        <v>212</v>
      </c>
      <c r="D23" s="4" t="s">
        <v>221</v>
      </c>
      <c r="E23" s="4" t="s">
        <v>21</v>
      </c>
      <c r="F23" s="4" t="s">
        <v>155</v>
      </c>
      <c r="G23" s="4" t="s">
        <v>222</v>
      </c>
      <c r="H23" s="4" t="s">
        <v>223</v>
      </c>
      <c r="I23" s="4" t="s">
        <v>188</v>
      </c>
      <c r="J23" s="10">
        <v>300</v>
      </c>
      <c r="K23" s="10">
        <v>19</v>
      </c>
      <c r="L23" s="10">
        <v>38</v>
      </c>
      <c r="M23" s="10">
        <v>9</v>
      </c>
      <c r="N23" s="10"/>
      <c r="O23" s="4" t="s">
        <v>224</v>
      </c>
      <c r="P23" s="4" t="s">
        <v>225</v>
      </c>
      <c r="Q23" s="4" t="s">
        <v>226</v>
      </c>
    </row>
    <row r="24" spans="1:17" ht="120" customHeight="1">
      <c r="A24" s="4" t="s">
        <v>227</v>
      </c>
      <c r="B24" s="4" t="s">
        <v>228</v>
      </c>
      <c r="C24" s="4" t="s">
        <v>212</v>
      </c>
      <c r="D24" s="4" t="s">
        <v>229</v>
      </c>
      <c r="E24" s="4" t="s">
        <v>21</v>
      </c>
      <c r="F24" s="4" t="s">
        <v>155</v>
      </c>
      <c r="G24" s="4" t="s">
        <v>230</v>
      </c>
      <c r="H24" s="4" t="s">
        <v>231</v>
      </c>
      <c r="I24" s="4" t="s">
        <v>188</v>
      </c>
      <c r="J24" s="10">
        <v>310</v>
      </c>
      <c r="K24" s="10">
        <v>21</v>
      </c>
      <c r="L24" s="10">
        <v>27</v>
      </c>
      <c r="M24" s="10">
        <v>14</v>
      </c>
      <c r="N24" s="10"/>
      <c r="O24" s="4" t="s">
        <v>232</v>
      </c>
      <c r="P24" s="4" t="s">
        <v>233</v>
      </c>
      <c r="Q24" s="4" t="s">
        <v>234</v>
      </c>
    </row>
    <row r="25" spans="1:17" ht="120" customHeight="1">
      <c r="A25" s="4" t="s">
        <v>235</v>
      </c>
      <c r="B25" s="4" t="s">
        <v>236</v>
      </c>
      <c r="C25" s="4" t="s">
        <v>212</v>
      </c>
      <c r="D25" s="4" t="s">
        <v>237</v>
      </c>
      <c r="E25" s="4" t="s">
        <v>21</v>
      </c>
      <c r="F25" s="4" t="s">
        <v>155</v>
      </c>
      <c r="G25" s="4" t="s">
        <v>238</v>
      </c>
      <c r="H25" s="4" t="s">
        <v>239</v>
      </c>
      <c r="I25" s="4" t="s">
        <v>188</v>
      </c>
      <c r="J25" s="10">
        <v>320</v>
      </c>
      <c r="K25" s="10">
        <v>27</v>
      </c>
      <c r="L25" s="10">
        <v>32</v>
      </c>
      <c r="M25" s="10">
        <v>11</v>
      </c>
      <c r="N25" s="10"/>
      <c r="O25" s="4" t="s">
        <v>106</v>
      </c>
      <c r="P25" s="4" t="s">
        <v>240</v>
      </c>
      <c r="Q25" s="4" t="s">
        <v>241</v>
      </c>
    </row>
    <row r="26" spans="1:17" ht="120" customHeight="1">
      <c r="A26" s="4" t="s">
        <v>242</v>
      </c>
      <c r="B26" s="4" t="s">
        <v>243</v>
      </c>
      <c r="C26" s="4" t="s">
        <v>212</v>
      </c>
      <c r="D26" s="4" t="s">
        <v>244</v>
      </c>
      <c r="E26" s="4" t="s">
        <v>245</v>
      </c>
      <c r="F26" s="4" t="s">
        <v>155</v>
      </c>
      <c r="G26" s="4" t="s">
        <v>246</v>
      </c>
      <c r="H26" s="4" t="s">
        <v>247</v>
      </c>
      <c r="I26" s="4" t="s">
        <v>188</v>
      </c>
      <c r="J26" s="10">
        <v>315</v>
      </c>
      <c r="K26" s="10">
        <v>18</v>
      </c>
      <c r="L26" s="10">
        <v>34</v>
      </c>
      <c r="M26" s="10">
        <v>12</v>
      </c>
      <c r="N26" s="10"/>
      <c r="O26" s="4" t="s">
        <v>248</v>
      </c>
      <c r="P26" s="4" t="s">
        <v>249</v>
      </c>
      <c r="Q26" s="4" t="s">
        <v>250</v>
      </c>
    </row>
    <row r="27" spans="1:17" ht="120" customHeight="1">
      <c r="A27" s="4" t="s">
        <v>251</v>
      </c>
      <c r="B27" s="4" t="s">
        <v>252</v>
      </c>
      <c r="C27" s="4" t="s">
        <v>212</v>
      </c>
      <c r="D27" s="4" t="s">
        <v>253</v>
      </c>
      <c r="E27" s="4" t="s">
        <v>21</v>
      </c>
      <c r="F27" s="4" t="s">
        <v>155</v>
      </c>
      <c r="G27" s="4" t="s">
        <v>254</v>
      </c>
      <c r="H27" s="4" t="s">
        <v>255</v>
      </c>
      <c r="I27" s="4" t="s">
        <v>188</v>
      </c>
      <c r="J27" s="10">
        <v>270</v>
      </c>
      <c r="K27" s="10">
        <v>23</v>
      </c>
      <c r="L27" s="10">
        <v>29</v>
      </c>
      <c r="M27" s="10">
        <v>8</v>
      </c>
      <c r="N27" s="10"/>
      <c r="O27" s="4" t="s">
        <v>256</v>
      </c>
      <c r="P27" s="4" t="s">
        <v>257</v>
      </c>
      <c r="Q27" s="4" t="s">
        <v>258</v>
      </c>
    </row>
    <row r="28" spans="1:17" ht="120" customHeight="1">
      <c r="A28" s="4" t="s">
        <v>259</v>
      </c>
      <c r="B28" s="4" t="s">
        <v>260</v>
      </c>
      <c r="C28" s="4" t="s">
        <v>212</v>
      </c>
      <c r="D28" s="4" t="s">
        <v>261</v>
      </c>
      <c r="E28" s="4" t="s">
        <v>21</v>
      </c>
      <c r="F28" s="4" t="s">
        <v>22</v>
      </c>
      <c r="G28" s="4" t="s">
        <v>262</v>
      </c>
      <c r="H28" s="4" t="s">
        <v>263</v>
      </c>
      <c r="I28" s="4" t="s">
        <v>188</v>
      </c>
      <c r="J28" s="10">
        <v>300</v>
      </c>
      <c r="K28" s="10">
        <v>34</v>
      </c>
      <c r="L28" s="10">
        <v>18</v>
      </c>
      <c r="M28" s="10">
        <v>10</v>
      </c>
      <c r="N28" s="10"/>
      <c r="O28" s="4" t="s">
        <v>46</v>
      </c>
      <c r="P28" s="4" t="s">
        <v>264</v>
      </c>
      <c r="Q28" s="4" t="s">
        <v>265</v>
      </c>
    </row>
    <row r="29" spans="1:17" ht="120" customHeight="1">
      <c r="A29" s="4" t="s">
        <v>266</v>
      </c>
      <c r="B29" s="4" t="s">
        <v>267</v>
      </c>
      <c r="C29" s="4" t="s">
        <v>268</v>
      </c>
      <c r="D29" s="4" t="s">
        <v>269</v>
      </c>
      <c r="E29" s="4" t="s">
        <v>245</v>
      </c>
      <c r="F29" s="4" t="s">
        <v>155</v>
      </c>
      <c r="G29" s="4" t="s">
        <v>270</v>
      </c>
      <c r="H29" s="4" t="s">
        <v>271</v>
      </c>
      <c r="I29" s="4" t="s">
        <v>188</v>
      </c>
      <c r="J29" s="10">
        <v>285</v>
      </c>
      <c r="K29" s="10">
        <v>13</v>
      </c>
      <c r="L29" s="10">
        <v>43</v>
      </c>
      <c r="M29" s="10">
        <v>8</v>
      </c>
      <c r="N29" s="10"/>
      <c r="O29" s="4" t="s">
        <v>272</v>
      </c>
      <c r="P29" s="4" t="s">
        <v>273</v>
      </c>
      <c r="Q29" s="4" t="s">
        <v>274</v>
      </c>
    </row>
    <row r="30" spans="1:17" ht="120" customHeight="1">
      <c r="A30" s="4" t="s">
        <v>275</v>
      </c>
      <c r="B30" s="4" t="s">
        <v>276</v>
      </c>
      <c r="C30" s="4" t="s">
        <v>212</v>
      </c>
      <c r="D30" s="4" t="s">
        <v>277</v>
      </c>
      <c r="E30" s="4" t="s">
        <v>278</v>
      </c>
      <c r="F30" s="4" t="s">
        <v>155</v>
      </c>
      <c r="G30" s="4" t="s">
        <v>279</v>
      </c>
      <c r="H30" s="4" t="s">
        <v>280</v>
      </c>
      <c r="I30" s="4" t="s">
        <v>188</v>
      </c>
      <c r="J30" s="10">
        <v>290</v>
      </c>
      <c r="K30" s="10">
        <v>19</v>
      </c>
      <c r="L30" s="10">
        <v>24</v>
      </c>
      <c r="M30" s="10">
        <v>13</v>
      </c>
      <c r="N30" s="10"/>
      <c r="O30" s="4" t="s">
        <v>106</v>
      </c>
      <c r="P30" s="4" t="s">
        <v>281</v>
      </c>
      <c r="Q30" s="4" t="s">
        <v>282</v>
      </c>
    </row>
    <row r="31" spans="1:17" ht="120" customHeight="1">
      <c r="A31" s="4" t="s">
        <v>283</v>
      </c>
      <c r="B31" s="4" t="s">
        <v>284</v>
      </c>
      <c r="C31" s="4" t="s">
        <v>212</v>
      </c>
      <c r="D31" s="4" t="s">
        <v>285</v>
      </c>
      <c r="E31" s="4" t="s">
        <v>278</v>
      </c>
      <c r="F31" s="4" t="s">
        <v>155</v>
      </c>
      <c r="G31" s="4" t="s">
        <v>286</v>
      </c>
      <c r="H31" s="4" t="s">
        <v>287</v>
      </c>
      <c r="I31" s="4" t="s">
        <v>188</v>
      </c>
      <c r="J31" s="10">
        <v>315</v>
      </c>
      <c r="K31" s="10">
        <v>26</v>
      </c>
      <c r="L31" s="10">
        <v>30</v>
      </c>
      <c r="M31" s="10">
        <v>11</v>
      </c>
      <c r="N31" s="10"/>
      <c r="O31" s="4" t="s">
        <v>106</v>
      </c>
      <c r="P31" s="4" t="s">
        <v>288</v>
      </c>
      <c r="Q31" s="4" t="s">
        <v>289</v>
      </c>
    </row>
    <row r="32" spans="1:17" ht="120" customHeight="1">
      <c r="A32" s="4" t="s">
        <v>290</v>
      </c>
      <c r="B32" s="4" t="s">
        <v>291</v>
      </c>
      <c r="C32" s="4" t="s">
        <v>41</v>
      </c>
      <c r="D32" s="4" t="s">
        <v>292</v>
      </c>
      <c r="E32" s="4" t="s">
        <v>63</v>
      </c>
      <c r="F32" s="4" t="s">
        <v>22</v>
      </c>
      <c r="G32" s="4" t="s">
        <v>293</v>
      </c>
      <c r="H32" s="4" t="s">
        <v>294</v>
      </c>
      <c r="I32" s="4" t="s">
        <v>188</v>
      </c>
      <c r="J32" s="10">
        <v>420</v>
      </c>
      <c r="K32" s="10">
        <v>40</v>
      </c>
      <c r="L32" s="10">
        <v>45</v>
      </c>
      <c r="M32" s="10">
        <v>10</v>
      </c>
      <c r="N32" s="10"/>
      <c r="O32" s="4" t="s">
        <v>46</v>
      </c>
      <c r="P32" s="4" t="s">
        <v>295</v>
      </c>
      <c r="Q32" s="4" t="s">
        <v>296</v>
      </c>
    </row>
    <row r="33" spans="1:17" ht="120" customHeight="1">
      <c r="A33" s="4" t="s">
        <v>297</v>
      </c>
      <c r="B33" s="4" t="s">
        <v>298</v>
      </c>
      <c r="C33" s="4" t="s">
        <v>41</v>
      </c>
      <c r="D33" s="4" t="s">
        <v>299</v>
      </c>
      <c r="E33" s="4" t="s">
        <v>74</v>
      </c>
      <c r="F33" s="4" t="s">
        <v>22</v>
      </c>
      <c r="G33" s="4" t="s">
        <v>300</v>
      </c>
      <c r="H33" s="4" t="s">
        <v>301</v>
      </c>
      <c r="I33" s="4" t="s">
        <v>188</v>
      </c>
      <c r="J33" s="10">
        <v>360</v>
      </c>
      <c r="K33" s="10">
        <v>44</v>
      </c>
      <c r="L33" s="10">
        <v>8</v>
      </c>
      <c r="M33" s="10">
        <v>17</v>
      </c>
      <c r="N33" s="10"/>
      <c r="O33" s="4" t="s">
        <v>302</v>
      </c>
      <c r="P33" s="4" t="s">
        <v>303</v>
      </c>
      <c r="Q33" s="4" t="s">
        <v>304</v>
      </c>
    </row>
    <row r="34" spans="1:17" ht="120" customHeight="1">
      <c r="A34" s="4" t="s">
        <v>305</v>
      </c>
      <c r="B34" s="4" t="s">
        <v>306</v>
      </c>
      <c r="C34" s="4" t="s">
        <v>41</v>
      </c>
      <c r="D34" s="4" t="s">
        <v>307</v>
      </c>
      <c r="E34" s="4" t="s">
        <v>74</v>
      </c>
      <c r="F34" s="4" t="s">
        <v>84</v>
      </c>
      <c r="G34" s="4" t="s">
        <v>308</v>
      </c>
      <c r="H34" s="4" t="s">
        <v>309</v>
      </c>
      <c r="I34" s="4" t="s">
        <v>188</v>
      </c>
      <c r="J34" s="10">
        <v>500</v>
      </c>
      <c r="K34" s="10">
        <v>37</v>
      </c>
      <c r="L34" s="10">
        <v>61</v>
      </c>
      <c r="M34" s="10">
        <v>12</v>
      </c>
      <c r="N34" s="10"/>
      <c r="O34" s="4" t="s">
        <v>310</v>
      </c>
      <c r="P34" s="4" t="s">
        <v>311</v>
      </c>
      <c r="Q34" s="4" t="s">
        <v>312</v>
      </c>
    </row>
    <row r="35" spans="1:17" ht="120" customHeight="1">
      <c r="A35" s="4" t="s">
        <v>313</v>
      </c>
      <c r="B35" s="4" t="s">
        <v>314</v>
      </c>
      <c r="C35" s="4" t="s">
        <v>41</v>
      </c>
      <c r="D35" s="4" t="s">
        <v>315</v>
      </c>
      <c r="E35" s="4" t="s">
        <v>63</v>
      </c>
      <c r="F35" s="4" t="s">
        <v>22</v>
      </c>
      <c r="G35" s="4" t="s">
        <v>316</v>
      </c>
      <c r="H35" s="4" t="s">
        <v>317</v>
      </c>
      <c r="I35" s="4" t="s">
        <v>188</v>
      </c>
      <c r="J35" s="10">
        <v>430</v>
      </c>
      <c r="K35" s="10">
        <v>39</v>
      </c>
      <c r="L35" s="10">
        <v>35</v>
      </c>
      <c r="M35" s="10">
        <v>15</v>
      </c>
      <c r="N35" s="10"/>
      <c r="O35" s="4" t="s">
        <v>302</v>
      </c>
      <c r="P35" s="4" t="s">
        <v>318</v>
      </c>
      <c r="Q35" s="4" t="s">
        <v>319</v>
      </c>
    </row>
    <row r="36" spans="1:17" ht="120" customHeight="1">
      <c r="A36" s="4" t="s">
        <v>320</v>
      </c>
      <c r="B36" s="4" t="s">
        <v>321</v>
      </c>
      <c r="C36" s="4" t="s">
        <v>41</v>
      </c>
      <c r="D36" s="4" t="s">
        <v>322</v>
      </c>
      <c r="E36" s="4" t="s">
        <v>214</v>
      </c>
      <c r="F36" s="4" t="s">
        <v>22</v>
      </c>
      <c r="G36" s="4" t="s">
        <v>323</v>
      </c>
      <c r="H36" s="4" t="s">
        <v>324</v>
      </c>
      <c r="I36" s="4" t="s">
        <v>188</v>
      </c>
      <c r="J36" s="10">
        <v>330</v>
      </c>
      <c r="K36" s="10">
        <v>35</v>
      </c>
      <c r="L36" s="10">
        <v>10</v>
      </c>
      <c r="M36" s="10">
        <v>17</v>
      </c>
      <c r="N36" s="10"/>
      <c r="O36" s="4" t="s">
        <v>310</v>
      </c>
      <c r="P36" s="4" t="s">
        <v>325</v>
      </c>
      <c r="Q36" s="4" t="s">
        <v>326</v>
      </c>
    </row>
    <row r="37" spans="1:17" ht="120" customHeight="1">
      <c r="A37" s="4" t="s">
        <v>327</v>
      </c>
      <c r="B37" s="4" t="s">
        <v>328</v>
      </c>
      <c r="C37" s="4" t="s">
        <v>41</v>
      </c>
      <c r="D37" s="4" t="s">
        <v>329</v>
      </c>
      <c r="E37" s="4" t="s">
        <v>214</v>
      </c>
      <c r="F37" s="4" t="s">
        <v>22</v>
      </c>
      <c r="G37" s="4" t="s">
        <v>330</v>
      </c>
      <c r="H37" s="4" t="s">
        <v>331</v>
      </c>
      <c r="I37" s="4" t="s">
        <v>188</v>
      </c>
      <c r="J37" s="10">
        <v>480</v>
      </c>
      <c r="K37" s="10">
        <v>35</v>
      </c>
      <c r="L37" s="10">
        <v>63</v>
      </c>
      <c r="M37" s="10">
        <v>10</v>
      </c>
      <c r="N37" s="10"/>
      <c r="O37" s="4" t="s">
        <v>310</v>
      </c>
      <c r="P37" s="4" t="s">
        <v>332</v>
      </c>
      <c r="Q37" s="4" t="s">
        <v>333</v>
      </c>
    </row>
    <row r="38" spans="1:17" ht="120" customHeight="1">
      <c r="A38" s="4" t="s">
        <v>334</v>
      </c>
      <c r="B38" s="4" t="s">
        <v>335</v>
      </c>
      <c r="C38" s="4" t="s">
        <v>41</v>
      </c>
      <c r="D38" s="4" t="s">
        <v>336</v>
      </c>
      <c r="E38" s="4" t="s">
        <v>21</v>
      </c>
      <c r="F38" s="4" t="s">
        <v>155</v>
      </c>
      <c r="G38" s="4" t="s">
        <v>337</v>
      </c>
      <c r="H38" s="4" t="s">
        <v>338</v>
      </c>
      <c r="I38" s="4" t="s">
        <v>188</v>
      </c>
      <c r="J38" s="10">
        <v>450</v>
      </c>
      <c r="K38" s="10">
        <v>40</v>
      </c>
      <c r="L38" s="10">
        <v>48</v>
      </c>
      <c r="M38" s="10">
        <v>12</v>
      </c>
      <c r="N38" s="10"/>
      <c r="O38" s="4" t="s">
        <v>302</v>
      </c>
      <c r="P38" s="4" t="s">
        <v>339</v>
      </c>
      <c r="Q38" s="4" t="s">
        <v>340</v>
      </c>
    </row>
    <row r="39" spans="1:17" ht="120" customHeight="1">
      <c r="A39" s="4" t="s">
        <v>341</v>
      </c>
      <c r="B39" s="4" t="s">
        <v>342</v>
      </c>
      <c r="C39" s="4" t="s">
        <v>41</v>
      </c>
      <c r="D39" s="4" t="s">
        <v>343</v>
      </c>
      <c r="E39" s="4" t="s">
        <v>74</v>
      </c>
      <c r="F39" s="4" t="s">
        <v>22</v>
      </c>
      <c r="G39" s="4" t="s">
        <v>344</v>
      </c>
      <c r="H39" s="4" t="s">
        <v>345</v>
      </c>
      <c r="I39" s="4" t="s">
        <v>188</v>
      </c>
      <c r="J39" s="10">
        <v>440</v>
      </c>
      <c r="K39" s="10">
        <v>34</v>
      </c>
      <c r="L39" s="10">
        <v>37</v>
      </c>
      <c r="M39" s="10">
        <v>18</v>
      </c>
      <c r="N39" s="10"/>
      <c r="O39" s="4" t="s">
        <v>302</v>
      </c>
      <c r="P39" s="4" t="s">
        <v>346</v>
      </c>
      <c r="Q39" s="4" t="s">
        <v>347</v>
      </c>
    </row>
    <row r="40" spans="1:17" ht="120" customHeight="1">
      <c r="A40" s="4" t="s">
        <v>348</v>
      </c>
      <c r="B40" s="4" t="s">
        <v>349</v>
      </c>
      <c r="C40" s="4" t="s">
        <v>41</v>
      </c>
      <c r="D40" s="4" t="s">
        <v>350</v>
      </c>
      <c r="E40" s="4" t="s">
        <v>74</v>
      </c>
      <c r="F40" s="4" t="s">
        <v>22</v>
      </c>
      <c r="G40" s="4" t="s">
        <v>351</v>
      </c>
      <c r="H40" s="4" t="s">
        <v>352</v>
      </c>
      <c r="I40" s="4" t="s">
        <v>188</v>
      </c>
      <c r="J40" s="10">
        <v>450</v>
      </c>
      <c r="K40" s="10">
        <v>36</v>
      </c>
      <c r="L40" s="10">
        <v>38</v>
      </c>
      <c r="M40" s="10">
        <v>17</v>
      </c>
      <c r="N40" s="10"/>
      <c r="O40" s="4" t="s">
        <v>353</v>
      </c>
      <c r="P40" s="4" t="s">
        <v>354</v>
      </c>
      <c r="Q40" s="4" t="s">
        <v>355</v>
      </c>
    </row>
    <row r="41" spans="1:17" ht="120" customHeight="1">
      <c r="A41" s="4" t="s">
        <v>356</v>
      </c>
      <c r="B41" s="4" t="s">
        <v>357</v>
      </c>
      <c r="C41" s="4" t="s">
        <v>41</v>
      </c>
      <c r="D41" s="4" t="s">
        <v>358</v>
      </c>
      <c r="E41" s="4" t="s">
        <v>63</v>
      </c>
      <c r="F41" s="4" t="s">
        <v>22</v>
      </c>
      <c r="G41" s="4" t="s">
        <v>359</v>
      </c>
      <c r="H41" s="4" t="s">
        <v>360</v>
      </c>
      <c r="I41" s="4" t="s">
        <v>188</v>
      </c>
      <c r="J41" s="10">
        <v>410</v>
      </c>
      <c r="K41" s="10">
        <v>39</v>
      </c>
      <c r="L41" s="10">
        <v>18</v>
      </c>
      <c r="M41" s="10">
        <v>21</v>
      </c>
      <c r="N41" s="10"/>
      <c r="O41" s="4" t="s">
        <v>302</v>
      </c>
      <c r="P41" s="4" t="s">
        <v>361</v>
      </c>
      <c r="Q41" s="4" t="s">
        <v>362</v>
      </c>
    </row>
    <row r="42" spans="1:17" ht="120" customHeight="1">
      <c r="A42" s="4" t="s">
        <v>363</v>
      </c>
      <c r="B42" s="4" t="s">
        <v>364</v>
      </c>
      <c r="C42" s="4" t="s">
        <v>212</v>
      </c>
      <c r="D42" s="4" t="s">
        <v>365</v>
      </c>
      <c r="E42" s="4" t="s">
        <v>21</v>
      </c>
      <c r="F42" s="4" t="s">
        <v>22</v>
      </c>
      <c r="G42" s="4" t="s">
        <v>366</v>
      </c>
      <c r="H42" s="4" t="s">
        <v>367</v>
      </c>
      <c r="I42" s="4" t="s">
        <v>368</v>
      </c>
      <c r="J42" s="10">
        <v>310</v>
      </c>
      <c r="K42" s="10">
        <v>19</v>
      </c>
      <c r="L42" s="10">
        <v>26</v>
      </c>
      <c r="M42" s="10">
        <v>14</v>
      </c>
      <c r="N42" s="10">
        <v>4</v>
      </c>
      <c r="O42" s="4" t="s">
        <v>369</v>
      </c>
      <c r="P42" s="4" t="s">
        <v>370</v>
      </c>
      <c r="Q42" s="4" t="s">
        <v>371</v>
      </c>
    </row>
    <row r="43" spans="1:17" ht="120" customHeight="1">
      <c r="A43" s="4" t="s">
        <v>372</v>
      </c>
      <c r="B43" s="4" t="s">
        <v>373</v>
      </c>
      <c r="C43" s="4" t="s">
        <v>212</v>
      </c>
      <c r="D43" s="4" t="s">
        <v>374</v>
      </c>
      <c r="E43" s="4" t="s">
        <v>74</v>
      </c>
      <c r="F43" s="4" t="s">
        <v>22</v>
      </c>
      <c r="G43" s="4" t="s">
        <v>375</v>
      </c>
      <c r="H43" s="4" t="s">
        <v>376</v>
      </c>
      <c r="I43" s="4" t="s">
        <v>377</v>
      </c>
      <c r="J43" s="10">
        <v>350</v>
      </c>
      <c r="K43" s="10">
        <v>12</v>
      </c>
      <c r="L43" s="10">
        <v>48</v>
      </c>
      <c r="M43" s="10">
        <v>13</v>
      </c>
      <c r="N43" s="10">
        <v>3</v>
      </c>
      <c r="O43" s="4" t="s">
        <v>46</v>
      </c>
      <c r="P43" s="4" t="s">
        <v>378</v>
      </c>
      <c r="Q43" s="4" t="s">
        <v>379</v>
      </c>
    </row>
    <row r="44" spans="1:17" ht="120" customHeight="1">
      <c r="A44" s="4" t="s">
        <v>380</v>
      </c>
      <c r="B44" s="4" t="s">
        <v>381</v>
      </c>
      <c r="C44" s="4" t="s">
        <v>212</v>
      </c>
      <c r="D44" s="4" t="s">
        <v>382</v>
      </c>
      <c r="E44" s="4" t="s">
        <v>21</v>
      </c>
      <c r="F44" s="4" t="s">
        <v>22</v>
      </c>
      <c r="G44" s="4" t="s">
        <v>383</v>
      </c>
      <c r="H44" s="4" t="s">
        <v>384</v>
      </c>
      <c r="I44" s="4" t="s">
        <v>178</v>
      </c>
      <c r="J44" s="10">
        <v>330</v>
      </c>
      <c r="K44" s="10">
        <v>20</v>
      </c>
      <c r="L44" s="10">
        <v>31</v>
      </c>
      <c r="M44" s="10">
        <v>13</v>
      </c>
      <c r="N44" s="10">
        <v>5</v>
      </c>
      <c r="O44" s="4" t="s">
        <v>385</v>
      </c>
      <c r="P44" s="4" t="s">
        <v>386</v>
      </c>
      <c r="Q44" s="4" t="s">
        <v>387</v>
      </c>
    </row>
    <row r="45" spans="1:17" ht="120" customHeight="1">
      <c r="A45" s="4" t="s">
        <v>388</v>
      </c>
      <c r="B45" s="4" t="s">
        <v>389</v>
      </c>
      <c r="C45" s="4" t="s">
        <v>390</v>
      </c>
      <c r="D45" s="4" t="s">
        <v>391</v>
      </c>
      <c r="E45" s="4" t="s">
        <v>214</v>
      </c>
      <c r="F45" s="4" t="s">
        <v>22</v>
      </c>
      <c r="G45" s="4" t="s">
        <v>392</v>
      </c>
      <c r="H45" s="4" t="s">
        <v>393</v>
      </c>
      <c r="I45" s="4" t="s">
        <v>394</v>
      </c>
      <c r="J45" s="10">
        <v>345</v>
      </c>
      <c r="K45" s="10">
        <v>14</v>
      </c>
      <c r="L45" s="10">
        <v>35</v>
      </c>
      <c r="M45" s="10">
        <v>17</v>
      </c>
      <c r="N45" s="10">
        <v>3</v>
      </c>
      <c r="O45" s="4" t="s">
        <v>395</v>
      </c>
      <c r="P45" s="4" t="s">
        <v>396</v>
      </c>
      <c r="Q45" s="4" t="s">
        <v>397</v>
      </c>
    </row>
    <row r="46" spans="1:17" ht="120" customHeight="1">
      <c r="A46" s="4" t="s">
        <v>398</v>
      </c>
      <c r="B46" s="4" t="s">
        <v>399</v>
      </c>
      <c r="C46" s="4" t="s">
        <v>212</v>
      </c>
      <c r="D46" s="4" t="s">
        <v>400</v>
      </c>
      <c r="E46" s="4" t="s">
        <v>21</v>
      </c>
      <c r="F46" s="4" t="s">
        <v>22</v>
      </c>
      <c r="G46" s="4" t="s">
        <v>401</v>
      </c>
      <c r="H46" s="4" t="s">
        <v>402</v>
      </c>
      <c r="I46" s="4" t="s">
        <v>188</v>
      </c>
      <c r="J46" s="10">
        <v>290</v>
      </c>
      <c r="K46" s="10">
        <v>11</v>
      </c>
      <c r="L46" s="10">
        <v>35</v>
      </c>
      <c r="M46" s="10">
        <v>12</v>
      </c>
      <c r="N46" s="10">
        <v>4</v>
      </c>
      <c r="O46" s="4" t="s">
        <v>310</v>
      </c>
      <c r="P46" s="4" t="s">
        <v>403</v>
      </c>
      <c r="Q46" s="4" t="s">
        <v>404</v>
      </c>
    </row>
    <row r="47" spans="1:17" ht="120" customHeight="1">
      <c r="A47" s="4" t="s">
        <v>405</v>
      </c>
      <c r="B47" s="4" t="s">
        <v>406</v>
      </c>
      <c r="C47" s="4" t="s">
        <v>407</v>
      </c>
      <c r="D47" s="4" t="s">
        <v>365</v>
      </c>
      <c r="E47" s="4" t="s">
        <v>21</v>
      </c>
      <c r="F47" s="4" t="s">
        <v>22</v>
      </c>
      <c r="G47" s="4" t="s">
        <v>408</v>
      </c>
      <c r="H47" s="4" t="s">
        <v>409</v>
      </c>
      <c r="I47" s="4" t="s">
        <v>188</v>
      </c>
      <c r="J47" s="10">
        <v>410</v>
      </c>
      <c r="K47" s="10">
        <v>25</v>
      </c>
      <c r="L47" s="10">
        <v>31</v>
      </c>
      <c r="M47" s="10">
        <v>21</v>
      </c>
      <c r="N47" s="10">
        <v>2</v>
      </c>
      <c r="O47" s="4" t="s">
        <v>385</v>
      </c>
      <c r="P47" s="4" t="s">
        <v>410</v>
      </c>
      <c r="Q47" s="4" t="s">
        <v>411</v>
      </c>
    </row>
    <row r="48" spans="1:17" ht="120" customHeight="1">
      <c r="A48" s="4" t="s">
        <v>412</v>
      </c>
      <c r="B48" s="4" t="s">
        <v>413</v>
      </c>
      <c r="C48" s="4" t="s">
        <v>212</v>
      </c>
      <c r="D48" s="4" t="s">
        <v>382</v>
      </c>
      <c r="E48" s="4" t="s">
        <v>74</v>
      </c>
      <c r="F48" s="4" t="s">
        <v>22</v>
      </c>
      <c r="G48" s="4" t="s">
        <v>414</v>
      </c>
      <c r="H48" s="4" t="s">
        <v>415</v>
      </c>
      <c r="I48" s="4" t="s">
        <v>416</v>
      </c>
      <c r="J48" s="10">
        <v>310</v>
      </c>
      <c r="K48" s="10">
        <v>14</v>
      </c>
      <c r="L48" s="10">
        <v>39</v>
      </c>
      <c r="M48" s="10">
        <v>11</v>
      </c>
      <c r="N48" s="10">
        <v>4</v>
      </c>
      <c r="O48" s="4" t="s">
        <v>302</v>
      </c>
      <c r="P48" s="4" t="s">
        <v>417</v>
      </c>
      <c r="Q48" s="4" t="s">
        <v>418</v>
      </c>
    </row>
    <row r="49" spans="1:17" ht="120" customHeight="1">
      <c r="A49" s="4" t="s">
        <v>419</v>
      </c>
      <c r="B49" s="4" t="s">
        <v>420</v>
      </c>
      <c r="C49" s="4" t="s">
        <v>212</v>
      </c>
      <c r="D49" s="4" t="s">
        <v>382</v>
      </c>
      <c r="E49" s="4" t="s">
        <v>214</v>
      </c>
      <c r="F49" s="4" t="s">
        <v>22</v>
      </c>
      <c r="G49" s="4" t="s">
        <v>421</v>
      </c>
      <c r="H49" s="4" t="s">
        <v>422</v>
      </c>
      <c r="I49" s="4" t="s">
        <v>423</v>
      </c>
      <c r="J49" s="10">
        <v>320</v>
      </c>
      <c r="K49" s="10">
        <v>15</v>
      </c>
      <c r="L49" s="10">
        <v>37</v>
      </c>
      <c r="M49" s="10">
        <v>13</v>
      </c>
      <c r="N49" s="10">
        <v>5</v>
      </c>
      <c r="O49" s="4" t="s">
        <v>302</v>
      </c>
      <c r="P49" s="4" t="s">
        <v>424</v>
      </c>
      <c r="Q49" s="4" t="s">
        <v>425</v>
      </c>
    </row>
    <row r="50" spans="1:17" ht="120" customHeight="1">
      <c r="A50" s="4" t="s">
        <v>426</v>
      </c>
      <c r="B50" s="4" t="s">
        <v>427</v>
      </c>
      <c r="C50" s="4" t="s">
        <v>212</v>
      </c>
      <c r="D50" s="4" t="s">
        <v>428</v>
      </c>
      <c r="E50" s="4" t="s">
        <v>21</v>
      </c>
      <c r="F50" s="4" t="s">
        <v>155</v>
      </c>
      <c r="G50" s="4" t="s">
        <v>429</v>
      </c>
      <c r="H50" s="4" t="s">
        <v>430</v>
      </c>
      <c r="I50" s="4" t="s">
        <v>188</v>
      </c>
      <c r="J50" s="10">
        <v>275</v>
      </c>
      <c r="K50" s="10">
        <v>13</v>
      </c>
      <c r="L50" s="10">
        <v>27</v>
      </c>
      <c r="M50" s="10">
        <v>13</v>
      </c>
      <c r="N50" s="10">
        <v>6</v>
      </c>
      <c r="O50" s="4" t="s">
        <v>431</v>
      </c>
      <c r="P50" s="4" t="s">
        <v>432</v>
      </c>
      <c r="Q50" s="4" t="s">
        <v>433</v>
      </c>
    </row>
    <row r="51" spans="1:17" ht="120" customHeight="1">
      <c r="A51" s="4" t="s">
        <v>434</v>
      </c>
      <c r="B51" s="4" t="s">
        <v>435</v>
      </c>
      <c r="C51" s="4" t="s">
        <v>212</v>
      </c>
      <c r="D51" s="4" t="s">
        <v>365</v>
      </c>
      <c r="E51" s="4" t="s">
        <v>245</v>
      </c>
      <c r="F51" s="4" t="s">
        <v>22</v>
      </c>
      <c r="G51" s="4" t="s">
        <v>436</v>
      </c>
      <c r="H51" s="4" t="s">
        <v>437</v>
      </c>
      <c r="I51" s="4" t="s">
        <v>188</v>
      </c>
      <c r="J51" s="10">
        <v>350</v>
      </c>
      <c r="K51" s="10">
        <v>22</v>
      </c>
      <c r="L51" s="10">
        <v>29</v>
      </c>
      <c r="M51" s="10">
        <v>17</v>
      </c>
      <c r="N51" s="10">
        <v>5</v>
      </c>
      <c r="O51" s="4" t="s">
        <v>106</v>
      </c>
      <c r="P51" s="4" t="s">
        <v>438</v>
      </c>
      <c r="Q51" s="4" t="s">
        <v>439</v>
      </c>
    </row>
    <row r="52" spans="1:17" ht="120" customHeight="1">
      <c r="A52" s="4" t="s">
        <v>440</v>
      </c>
      <c r="B52" s="4" t="s">
        <v>441</v>
      </c>
      <c r="C52" s="4" t="s">
        <v>41</v>
      </c>
      <c r="D52" s="4" t="s">
        <v>442</v>
      </c>
      <c r="E52" s="4" t="s">
        <v>74</v>
      </c>
      <c r="F52" s="4" t="s">
        <v>22</v>
      </c>
      <c r="G52" s="4" t="s">
        <v>443</v>
      </c>
      <c r="H52" s="4" t="s">
        <v>444</v>
      </c>
      <c r="I52" s="4" t="s">
        <v>188</v>
      </c>
      <c r="J52" s="10">
        <v>440</v>
      </c>
      <c r="K52" s="10">
        <v>55</v>
      </c>
      <c r="L52" s="10">
        <v>8</v>
      </c>
      <c r="M52" s="10">
        <v>20</v>
      </c>
      <c r="N52" s="10">
        <v>2</v>
      </c>
      <c r="O52" s="4" t="s">
        <v>46</v>
      </c>
      <c r="P52" s="4" t="s">
        <v>445</v>
      </c>
      <c r="Q52" s="4" t="s">
        <v>446</v>
      </c>
    </row>
    <row r="53" spans="1:17" ht="120" customHeight="1">
      <c r="A53" s="4" t="s">
        <v>447</v>
      </c>
      <c r="B53" s="4" t="s">
        <v>448</v>
      </c>
      <c r="C53" s="4" t="s">
        <v>41</v>
      </c>
      <c r="D53" s="4" t="s">
        <v>449</v>
      </c>
      <c r="E53" s="4" t="s">
        <v>74</v>
      </c>
      <c r="F53" s="4" t="s">
        <v>22</v>
      </c>
      <c r="G53" s="4" t="s">
        <v>450</v>
      </c>
      <c r="H53" s="4" t="s">
        <v>451</v>
      </c>
      <c r="I53" s="4" t="s">
        <v>188</v>
      </c>
      <c r="J53" s="10">
        <v>475</v>
      </c>
      <c r="K53" s="10">
        <v>48</v>
      </c>
      <c r="L53" s="10">
        <v>13</v>
      </c>
      <c r="M53" s="10">
        <v>26</v>
      </c>
      <c r="N53" s="10">
        <v>4</v>
      </c>
      <c r="O53" s="4" t="s">
        <v>302</v>
      </c>
      <c r="P53" s="4" t="s">
        <v>452</v>
      </c>
      <c r="Q53" s="4" t="s">
        <v>453</v>
      </c>
    </row>
    <row r="54" spans="1:17" ht="120" customHeight="1">
      <c r="A54" s="4" t="s">
        <v>454</v>
      </c>
      <c r="B54" s="4" t="s">
        <v>455</v>
      </c>
      <c r="C54" s="4" t="s">
        <v>41</v>
      </c>
      <c r="D54" s="4" t="s">
        <v>456</v>
      </c>
      <c r="E54" s="4" t="s">
        <v>214</v>
      </c>
      <c r="F54" s="4" t="s">
        <v>22</v>
      </c>
      <c r="G54" s="4" t="s">
        <v>457</v>
      </c>
      <c r="H54" s="4" t="s">
        <v>458</v>
      </c>
      <c r="I54" s="4" t="s">
        <v>188</v>
      </c>
      <c r="J54" s="10">
        <v>390</v>
      </c>
      <c r="K54" s="10">
        <v>52</v>
      </c>
      <c r="L54" s="10">
        <v>4</v>
      </c>
      <c r="M54" s="10">
        <v>19</v>
      </c>
      <c r="N54" s="10">
        <v>2</v>
      </c>
      <c r="O54" s="4" t="s">
        <v>310</v>
      </c>
      <c r="P54" s="4" t="s">
        <v>459</v>
      </c>
      <c r="Q54" s="4" t="s">
        <v>460</v>
      </c>
    </row>
    <row r="55" spans="1:17" ht="120" customHeight="1">
      <c r="A55" s="4" t="s">
        <v>461</v>
      </c>
      <c r="B55" s="4" t="s">
        <v>462</v>
      </c>
      <c r="C55" s="4" t="s">
        <v>41</v>
      </c>
      <c r="D55" s="4" t="s">
        <v>442</v>
      </c>
      <c r="E55" s="4" t="s">
        <v>63</v>
      </c>
      <c r="F55" s="4" t="s">
        <v>22</v>
      </c>
      <c r="G55" s="4" t="s">
        <v>463</v>
      </c>
      <c r="H55" s="4" t="s">
        <v>464</v>
      </c>
      <c r="I55" s="4" t="s">
        <v>465</v>
      </c>
      <c r="J55" s="10">
        <v>520</v>
      </c>
      <c r="K55" s="10">
        <v>54</v>
      </c>
      <c r="L55" s="10">
        <v>7</v>
      </c>
      <c r="M55" s="10">
        <v>30</v>
      </c>
      <c r="N55" s="10">
        <v>1.5</v>
      </c>
      <c r="O55" s="4" t="s">
        <v>302</v>
      </c>
      <c r="P55" s="4" t="s">
        <v>466</v>
      </c>
      <c r="Q55" s="4" t="s">
        <v>467</v>
      </c>
    </row>
    <row r="56" spans="1:17" ht="120" customHeight="1">
      <c r="A56" s="4" t="s">
        <v>468</v>
      </c>
      <c r="B56" s="4" t="s">
        <v>469</v>
      </c>
      <c r="C56" s="4" t="s">
        <v>41</v>
      </c>
      <c r="D56" s="4" t="s">
        <v>470</v>
      </c>
      <c r="E56" s="4" t="s">
        <v>21</v>
      </c>
      <c r="F56" s="4" t="s">
        <v>22</v>
      </c>
      <c r="G56" s="4" t="s">
        <v>471</v>
      </c>
      <c r="H56" s="4" t="s">
        <v>472</v>
      </c>
      <c r="I56" s="4" t="s">
        <v>188</v>
      </c>
      <c r="J56" s="10">
        <v>465</v>
      </c>
      <c r="K56" s="10">
        <v>55</v>
      </c>
      <c r="L56" s="10">
        <v>7</v>
      </c>
      <c r="M56" s="10">
        <v>23</v>
      </c>
      <c r="N56" s="10">
        <v>1</v>
      </c>
      <c r="O56" s="4" t="s">
        <v>302</v>
      </c>
      <c r="P56" s="4" t="s">
        <v>473</v>
      </c>
      <c r="Q56" s="4" t="s">
        <v>474</v>
      </c>
    </row>
    <row r="57" spans="1:17" ht="120" customHeight="1">
      <c r="A57" s="4" t="s">
        <v>475</v>
      </c>
      <c r="B57" s="4" t="s">
        <v>476</v>
      </c>
      <c r="C57" s="4" t="s">
        <v>41</v>
      </c>
      <c r="D57" s="4" t="s">
        <v>449</v>
      </c>
      <c r="E57" s="4" t="s">
        <v>74</v>
      </c>
      <c r="F57" s="4" t="s">
        <v>22</v>
      </c>
      <c r="G57" s="4" t="s">
        <v>477</v>
      </c>
      <c r="H57" s="4" t="s">
        <v>478</v>
      </c>
      <c r="I57" s="4" t="s">
        <v>188</v>
      </c>
      <c r="J57" s="10">
        <v>430</v>
      </c>
      <c r="K57" s="10">
        <v>51</v>
      </c>
      <c r="L57" s="10">
        <v>17</v>
      </c>
      <c r="M57" s="10">
        <v>19</v>
      </c>
      <c r="N57" s="10">
        <v>7</v>
      </c>
      <c r="O57" s="4" t="s">
        <v>302</v>
      </c>
      <c r="P57" s="4" t="s">
        <v>479</v>
      </c>
      <c r="Q57" s="4" t="s">
        <v>480</v>
      </c>
    </row>
    <row r="58" spans="1:17" ht="120" customHeight="1">
      <c r="A58" s="4" t="s">
        <v>481</v>
      </c>
      <c r="B58" s="4" t="s">
        <v>482</v>
      </c>
      <c r="C58" s="4" t="s">
        <v>41</v>
      </c>
      <c r="D58" s="4" t="s">
        <v>483</v>
      </c>
      <c r="E58" s="4" t="s">
        <v>214</v>
      </c>
      <c r="F58" s="4" t="s">
        <v>22</v>
      </c>
      <c r="G58" s="4" t="s">
        <v>484</v>
      </c>
      <c r="H58" s="4" t="s">
        <v>485</v>
      </c>
      <c r="I58" s="4" t="s">
        <v>188</v>
      </c>
      <c r="J58" s="10">
        <v>340</v>
      </c>
      <c r="K58" s="10">
        <v>43</v>
      </c>
      <c r="L58" s="10">
        <v>10</v>
      </c>
      <c r="M58" s="10">
        <v>14</v>
      </c>
      <c r="N58" s="10">
        <v>3</v>
      </c>
      <c r="O58" s="4" t="s">
        <v>310</v>
      </c>
      <c r="P58" s="4" t="s">
        <v>486</v>
      </c>
      <c r="Q58" s="4" t="s">
        <v>487</v>
      </c>
    </row>
    <row r="59" spans="1:17" ht="120" customHeight="1">
      <c r="A59" s="4" t="s">
        <v>488</v>
      </c>
      <c r="B59" s="4" t="s">
        <v>489</v>
      </c>
      <c r="C59" s="4" t="s">
        <v>41</v>
      </c>
      <c r="D59" s="4" t="s">
        <v>490</v>
      </c>
      <c r="E59" s="4" t="s">
        <v>214</v>
      </c>
      <c r="F59" s="4" t="s">
        <v>22</v>
      </c>
      <c r="G59" s="4" t="s">
        <v>491</v>
      </c>
      <c r="H59" s="4" t="s">
        <v>492</v>
      </c>
      <c r="I59" s="4" t="s">
        <v>188</v>
      </c>
      <c r="J59" s="10">
        <v>510</v>
      </c>
      <c r="K59" s="10">
        <v>47</v>
      </c>
      <c r="L59" s="10">
        <v>13</v>
      </c>
      <c r="M59" s="10">
        <v>30</v>
      </c>
      <c r="N59" s="10">
        <v>5</v>
      </c>
      <c r="O59" s="4" t="s">
        <v>302</v>
      </c>
      <c r="P59" s="4" t="s">
        <v>493</v>
      </c>
      <c r="Q59" s="4" t="s">
        <v>494</v>
      </c>
    </row>
    <row r="60" spans="1:17" ht="120" customHeight="1">
      <c r="A60" s="4" t="s">
        <v>495</v>
      </c>
      <c r="B60" s="4" t="s">
        <v>496</v>
      </c>
      <c r="C60" s="4" t="s">
        <v>41</v>
      </c>
      <c r="D60" s="4" t="s">
        <v>456</v>
      </c>
      <c r="E60" s="4" t="s">
        <v>74</v>
      </c>
      <c r="F60" s="4" t="s">
        <v>22</v>
      </c>
      <c r="G60" s="4" t="s">
        <v>497</v>
      </c>
      <c r="H60" s="4" t="s">
        <v>498</v>
      </c>
      <c r="I60" s="4" t="s">
        <v>188</v>
      </c>
      <c r="J60" s="10">
        <v>520</v>
      </c>
      <c r="K60" s="10">
        <v>62</v>
      </c>
      <c r="L60" s="10">
        <v>8</v>
      </c>
      <c r="M60" s="10">
        <v>26</v>
      </c>
      <c r="N60" s="10">
        <v>2</v>
      </c>
      <c r="O60" s="4" t="s">
        <v>302</v>
      </c>
      <c r="P60" s="4" t="s">
        <v>499</v>
      </c>
      <c r="Q60" s="4" t="s">
        <v>500</v>
      </c>
    </row>
    <row r="61" spans="1:17" ht="120" customHeight="1">
      <c r="A61" s="4" t="s">
        <v>501</v>
      </c>
      <c r="B61" s="4" t="s">
        <v>502</v>
      </c>
      <c r="C61" s="4" t="s">
        <v>41</v>
      </c>
      <c r="D61" s="4" t="s">
        <v>503</v>
      </c>
      <c r="E61" s="4" t="s">
        <v>504</v>
      </c>
      <c r="F61" s="4" t="s">
        <v>22</v>
      </c>
      <c r="G61" s="4" t="s">
        <v>505</v>
      </c>
      <c r="H61" s="4" t="s">
        <v>506</v>
      </c>
      <c r="I61" s="4" t="s">
        <v>188</v>
      </c>
      <c r="J61" s="10">
        <v>455</v>
      </c>
      <c r="K61" s="10">
        <v>45</v>
      </c>
      <c r="L61" s="10">
        <v>14</v>
      </c>
      <c r="M61" s="10">
        <v>24</v>
      </c>
      <c r="N61" s="10">
        <v>5</v>
      </c>
      <c r="O61" s="4" t="s">
        <v>46</v>
      </c>
      <c r="P61" s="4" t="s">
        <v>507</v>
      </c>
      <c r="Q61" s="4" t="s">
        <v>508</v>
      </c>
    </row>
    <row r="62" spans="1:17" ht="120" customHeight="1">
      <c r="A62" s="4" t="s">
        <v>509</v>
      </c>
      <c r="B62" s="4" t="s">
        <v>510</v>
      </c>
      <c r="C62" s="4" t="s">
        <v>511</v>
      </c>
      <c r="D62" s="4" t="s">
        <v>512</v>
      </c>
      <c r="E62" s="4" t="s">
        <v>74</v>
      </c>
      <c r="F62" s="4" t="s">
        <v>22</v>
      </c>
      <c r="G62" s="4" t="s">
        <v>513</v>
      </c>
      <c r="H62" s="4" t="s">
        <v>514</v>
      </c>
      <c r="I62" s="4" t="s">
        <v>188</v>
      </c>
      <c r="J62" s="10">
        <v>330</v>
      </c>
      <c r="K62" s="10">
        <v>7</v>
      </c>
      <c r="L62" s="10">
        <v>34</v>
      </c>
      <c r="M62" s="10">
        <v>20</v>
      </c>
      <c r="N62" s="10">
        <v>7</v>
      </c>
      <c r="O62" s="4" t="s">
        <v>515</v>
      </c>
      <c r="P62" s="4" t="s">
        <v>516</v>
      </c>
      <c r="Q62" s="4" t="s">
        <v>517</v>
      </c>
    </row>
    <row r="63" spans="1:17" ht="120" customHeight="1">
      <c r="A63" s="4" t="s">
        <v>518</v>
      </c>
      <c r="B63" s="4" t="s">
        <v>519</v>
      </c>
      <c r="C63" s="4" t="s">
        <v>520</v>
      </c>
      <c r="D63" s="4" t="s">
        <v>521</v>
      </c>
      <c r="E63" s="4" t="s">
        <v>21</v>
      </c>
      <c r="F63" s="4" t="s">
        <v>22</v>
      </c>
      <c r="G63" s="4" t="s">
        <v>522</v>
      </c>
      <c r="H63" s="4" t="s">
        <v>523</v>
      </c>
      <c r="I63" s="4" t="s">
        <v>188</v>
      </c>
      <c r="J63" s="10">
        <v>320</v>
      </c>
      <c r="K63" s="10">
        <v>13</v>
      </c>
      <c r="L63" s="10">
        <v>31</v>
      </c>
      <c r="M63" s="10">
        <v>16</v>
      </c>
      <c r="N63" s="10"/>
      <c r="O63" s="4" t="s">
        <v>385</v>
      </c>
      <c r="P63" s="4" t="s">
        <v>524</v>
      </c>
      <c r="Q63" s="4" t="s">
        <v>525</v>
      </c>
    </row>
    <row r="64" spans="1:17" ht="120" customHeight="1">
      <c r="A64" s="4" t="s">
        <v>526</v>
      </c>
      <c r="B64" s="4" t="s">
        <v>527</v>
      </c>
      <c r="C64" s="4" t="s">
        <v>520</v>
      </c>
      <c r="D64" s="4" t="s">
        <v>528</v>
      </c>
      <c r="E64" s="4" t="s">
        <v>74</v>
      </c>
      <c r="F64" s="4" t="s">
        <v>22</v>
      </c>
      <c r="G64" s="4" t="s">
        <v>529</v>
      </c>
      <c r="H64" s="4" t="s">
        <v>530</v>
      </c>
      <c r="I64" s="4" t="s">
        <v>188</v>
      </c>
      <c r="J64" s="10">
        <v>390</v>
      </c>
      <c r="K64" s="10">
        <v>48</v>
      </c>
      <c r="L64" s="10">
        <v>18</v>
      </c>
      <c r="M64" s="10">
        <v>14</v>
      </c>
      <c r="N64" s="10"/>
      <c r="O64" s="4" t="s">
        <v>302</v>
      </c>
      <c r="P64" s="4" t="s">
        <v>531</v>
      </c>
      <c r="Q64" s="4" t="s">
        <v>532</v>
      </c>
    </row>
    <row r="65" spans="1:17" ht="120" customHeight="1">
      <c r="A65" s="4" t="s">
        <v>533</v>
      </c>
      <c r="B65" s="4" t="s">
        <v>534</v>
      </c>
      <c r="C65" s="4" t="s">
        <v>535</v>
      </c>
      <c r="D65" s="4" t="s">
        <v>536</v>
      </c>
      <c r="E65" s="4" t="s">
        <v>21</v>
      </c>
      <c r="F65" s="4" t="s">
        <v>22</v>
      </c>
      <c r="G65" s="4" t="s">
        <v>537</v>
      </c>
      <c r="H65" s="4" t="s">
        <v>538</v>
      </c>
      <c r="I65" s="4" t="s">
        <v>394</v>
      </c>
      <c r="J65" s="10">
        <v>360</v>
      </c>
      <c r="K65" s="10">
        <v>19</v>
      </c>
      <c r="L65" s="10">
        <v>41</v>
      </c>
      <c r="M65" s="10">
        <v>14</v>
      </c>
      <c r="N65" s="10"/>
      <c r="O65" s="4" t="s">
        <v>385</v>
      </c>
      <c r="P65" s="4" t="s">
        <v>539</v>
      </c>
      <c r="Q65" s="4" t="s">
        <v>540</v>
      </c>
    </row>
    <row r="66" spans="1:17" ht="120" customHeight="1">
      <c r="A66" s="4" t="s">
        <v>541</v>
      </c>
      <c r="B66" s="4" t="s">
        <v>542</v>
      </c>
      <c r="C66" s="4" t="s">
        <v>520</v>
      </c>
      <c r="D66" s="4" t="s">
        <v>543</v>
      </c>
      <c r="E66" s="4" t="s">
        <v>74</v>
      </c>
      <c r="F66" s="4" t="s">
        <v>22</v>
      </c>
      <c r="G66" s="4" t="s">
        <v>544</v>
      </c>
      <c r="H66" s="4" t="s">
        <v>545</v>
      </c>
      <c r="I66" s="4" t="s">
        <v>188</v>
      </c>
      <c r="J66" s="10">
        <v>290</v>
      </c>
      <c r="K66" s="10">
        <v>8</v>
      </c>
      <c r="L66" s="10">
        <v>47</v>
      </c>
      <c r="M66" s="10">
        <v>8</v>
      </c>
      <c r="N66" s="10">
        <v>5</v>
      </c>
      <c r="O66" s="4" t="s">
        <v>546</v>
      </c>
      <c r="P66" s="4" t="s">
        <v>547</v>
      </c>
      <c r="Q66" s="4" t="s">
        <v>548</v>
      </c>
    </row>
    <row r="67" spans="1:17" ht="120" customHeight="1">
      <c r="A67" s="4" t="s">
        <v>549</v>
      </c>
      <c r="B67" s="4" t="s">
        <v>550</v>
      </c>
      <c r="C67" s="4" t="s">
        <v>520</v>
      </c>
      <c r="D67" s="4" t="s">
        <v>551</v>
      </c>
      <c r="E67" s="4" t="s">
        <v>63</v>
      </c>
      <c r="F67" s="4" t="s">
        <v>22</v>
      </c>
      <c r="G67" s="4" t="s">
        <v>552</v>
      </c>
      <c r="H67" s="4" t="s">
        <v>553</v>
      </c>
      <c r="I67" s="4" t="s">
        <v>554</v>
      </c>
      <c r="J67" s="10">
        <v>410</v>
      </c>
      <c r="K67" s="10">
        <v>31</v>
      </c>
      <c r="L67" s="10">
        <v>34</v>
      </c>
      <c r="M67" s="10">
        <v>17</v>
      </c>
      <c r="N67" s="10"/>
      <c r="O67" s="4" t="s">
        <v>302</v>
      </c>
      <c r="P67" s="4" t="s">
        <v>555</v>
      </c>
      <c r="Q67" s="4" t="s">
        <v>556</v>
      </c>
    </row>
    <row r="68" spans="1:17" ht="120" customHeight="1">
      <c r="A68" s="4" t="s">
        <v>557</v>
      </c>
      <c r="B68" s="4" t="s">
        <v>558</v>
      </c>
      <c r="C68" s="4" t="s">
        <v>520</v>
      </c>
      <c r="D68" s="4" t="s">
        <v>559</v>
      </c>
      <c r="E68" s="4" t="s">
        <v>21</v>
      </c>
      <c r="F68" s="4" t="s">
        <v>22</v>
      </c>
      <c r="G68" s="4" t="s">
        <v>560</v>
      </c>
      <c r="H68" s="4" t="s">
        <v>561</v>
      </c>
      <c r="I68" s="4" t="s">
        <v>188</v>
      </c>
      <c r="J68" s="10">
        <v>340</v>
      </c>
      <c r="K68" s="10">
        <v>24</v>
      </c>
      <c r="L68" s="10">
        <v>8</v>
      </c>
      <c r="M68" s="10">
        <v>24</v>
      </c>
      <c r="N68" s="10"/>
      <c r="O68" s="4" t="s">
        <v>385</v>
      </c>
      <c r="P68" s="4" t="s">
        <v>562</v>
      </c>
      <c r="Q68" s="4" t="s">
        <v>563</v>
      </c>
    </row>
    <row r="69" spans="1:17" ht="120" customHeight="1">
      <c r="A69" s="4" t="s">
        <v>564</v>
      </c>
      <c r="B69" s="4" t="s">
        <v>565</v>
      </c>
      <c r="C69" s="4" t="s">
        <v>520</v>
      </c>
      <c r="D69" s="4" t="s">
        <v>521</v>
      </c>
      <c r="E69" s="4" t="s">
        <v>214</v>
      </c>
      <c r="F69" s="4" t="s">
        <v>22</v>
      </c>
      <c r="G69" s="4" t="s">
        <v>566</v>
      </c>
      <c r="H69" s="4" t="s">
        <v>567</v>
      </c>
      <c r="I69" s="4" t="s">
        <v>188</v>
      </c>
      <c r="J69" s="10">
        <v>300</v>
      </c>
      <c r="K69" s="10">
        <v>16</v>
      </c>
      <c r="L69" s="10">
        <v>29</v>
      </c>
      <c r="M69" s="10">
        <v>14</v>
      </c>
      <c r="N69" s="10">
        <v>4</v>
      </c>
      <c r="O69" s="4" t="s">
        <v>568</v>
      </c>
      <c r="P69" s="4" t="s">
        <v>569</v>
      </c>
      <c r="Q69" s="4" t="s">
        <v>570</v>
      </c>
    </row>
    <row r="70" spans="1:17" ht="120" customHeight="1">
      <c r="A70" s="4" t="s">
        <v>571</v>
      </c>
      <c r="B70" s="4" t="s">
        <v>572</v>
      </c>
      <c r="C70" s="4" t="s">
        <v>573</v>
      </c>
      <c r="D70" s="4" t="s">
        <v>574</v>
      </c>
      <c r="E70" s="4" t="s">
        <v>74</v>
      </c>
      <c r="F70" s="4" t="s">
        <v>22</v>
      </c>
      <c r="G70" s="4" t="s">
        <v>575</v>
      </c>
      <c r="H70" s="4" t="s">
        <v>576</v>
      </c>
      <c r="I70" s="4" t="s">
        <v>577</v>
      </c>
      <c r="J70" s="10">
        <v>430</v>
      </c>
      <c r="K70" s="10">
        <v>35</v>
      </c>
      <c r="L70" s="10">
        <v>34</v>
      </c>
      <c r="M70" s="10">
        <v>19</v>
      </c>
      <c r="N70" s="10">
        <v>3</v>
      </c>
      <c r="O70" s="4" t="s">
        <v>578</v>
      </c>
      <c r="P70" s="4" t="s">
        <v>579</v>
      </c>
      <c r="Q70" s="4" t="s">
        <v>580</v>
      </c>
    </row>
    <row r="71" spans="1:17" ht="120" customHeight="1">
      <c r="A71" s="4" t="s">
        <v>581</v>
      </c>
      <c r="B71" s="4" t="s">
        <v>582</v>
      </c>
      <c r="C71" s="4" t="s">
        <v>583</v>
      </c>
      <c r="D71" s="4" t="s">
        <v>584</v>
      </c>
      <c r="E71" s="4" t="s">
        <v>21</v>
      </c>
      <c r="F71" s="4" t="s">
        <v>22</v>
      </c>
      <c r="G71" s="4" t="s">
        <v>585</v>
      </c>
      <c r="H71" s="4" t="s">
        <v>586</v>
      </c>
      <c r="I71" s="4" t="s">
        <v>188</v>
      </c>
      <c r="J71" s="10">
        <v>280</v>
      </c>
      <c r="K71" s="10">
        <v>6</v>
      </c>
      <c r="L71" s="10">
        <v>38</v>
      </c>
      <c r="M71" s="10">
        <v>13</v>
      </c>
      <c r="N71" s="10">
        <v>5</v>
      </c>
      <c r="O71" s="4" t="s">
        <v>272</v>
      </c>
      <c r="P71" s="4" t="s">
        <v>587</v>
      </c>
      <c r="Q71" s="4" t="s">
        <v>588</v>
      </c>
    </row>
    <row r="72" spans="1:17" ht="120" customHeight="1">
      <c r="A72" s="4" t="s">
        <v>589</v>
      </c>
      <c r="B72" s="4" t="s">
        <v>590</v>
      </c>
      <c r="C72" s="4" t="s">
        <v>41</v>
      </c>
      <c r="D72" s="4" t="s">
        <v>591</v>
      </c>
      <c r="E72" s="4" t="s">
        <v>74</v>
      </c>
      <c r="F72" s="4" t="s">
        <v>22</v>
      </c>
      <c r="G72" s="4" t="s">
        <v>592</v>
      </c>
      <c r="H72" s="4" t="s">
        <v>593</v>
      </c>
      <c r="I72" s="4" t="s">
        <v>188</v>
      </c>
      <c r="J72" s="10">
        <v>410</v>
      </c>
      <c r="K72" s="10">
        <v>48</v>
      </c>
      <c r="L72" s="10">
        <v>32</v>
      </c>
      <c r="M72" s="10">
        <v>11</v>
      </c>
      <c r="N72" s="10">
        <v>9</v>
      </c>
      <c r="O72" s="4" t="s">
        <v>46</v>
      </c>
      <c r="P72" s="4" t="s">
        <v>594</v>
      </c>
      <c r="Q72" s="4" t="s">
        <v>595</v>
      </c>
    </row>
    <row r="73" spans="1:17" ht="120" customHeight="1">
      <c r="A73" s="4" t="s">
        <v>596</v>
      </c>
      <c r="B73" s="4" t="s">
        <v>597</v>
      </c>
      <c r="C73" s="4" t="s">
        <v>41</v>
      </c>
      <c r="D73" s="4" t="s">
        <v>598</v>
      </c>
      <c r="E73" s="4" t="s">
        <v>74</v>
      </c>
      <c r="F73" s="4" t="s">
        <v>22</v>
      </c>
      <c r="G73" s="4" t="s">
        <v>599</v>
      </c>
      <c r="H73" s="4" t="s">
        <v>600</v>
      </c>
      <c r="I73" s="4" t="s">
        <v>188</v>
      </c>
      <c r="J73" s="10">
        <v>430</v>
      </c>
      <c r="K73" s="10">
        <v>42</v>
      </c>
      <c r="L73" s="10">
        <v>25</v>
      </c>
      <c r="M73" s="10">
        <v>19</v>
      </c>
      <c r="N73" s="10">
        <v>7</v>
      </c>
      <c r="O73" s="4" t="s">
        <v>302</v>
      </c>
      <c r="P73" s="4" t="s">
        <v>601</v>
      </c>
      <c r="Q73" s="4" t="s">
        <v>602</v>
      </c>
    </row>
    <row r="74" spans="1:17" ht="120" customHeight="1">
      <c r="A74" s="4" t="s">
        <v>603</v>
      </c>
      <c r="B74" s="4" t="s">
        <v>604</v>
      </c>
      <c r="C74" s="4" t="s">
        <v>41</v>
      </c>
      <c r="D74" s="4" t="s">
        <v>605</v>
      </c>
      <c r="E74" s="4" t="s">
        <v>74</v>
      </c>
      <c r="F74" s="4" t="s">
        <v>22</v>
      </c>
      <c r="G74" s="4" t="s">
        <v>606</v>
      </c>
      <c r="H74" s="4" t="s">
        <v>607</v>
      </c>
      <c r="I74" s="4" t="s">
        <v>188</v>
      </c>
      <c r="J74" s="10">
        <v>405</v>
      </c>
      <c r="K74" s="10">
        <v>45</v>
      </c>
      <c r="L74" s="10">
        <v>33</v>
      </c>
      <c r="M74" s="10">
        <v>10</v>
      </c>
      <c r="N74" s="10">
        <v>10</v>
      </c>
      <c r="O74" s="4" t="s">
        <v>310</v>
      </c>
      <c r="P74" s="4" t="s">
        <v>608</v>
      </c>
      <c r="Q74" s="4" t="s">
        <v>609</v>
      </c>
    </row>
    <row r="75" spans="1:17" ht="120" customHeight="1">
      <c r="A75" s="4" t="s">
        <v>610</v>
      </c>
      <c r="B75" s="4" t="s">
        <v>611</v>
      </c>
      <c r="C75" s="4" t="s">
        <v>41</v>
      </c>
      <c r="D75" s="4" t="s">
        <v>612</v>
      </c>
      <c r="E75" s="4" t="s">
        <v>74</v>
      </c>
      <c r="F75" s="4" t="s">
        <v>22</v>
      </c>
      <c r="G75" s="4" t="s">
        <v>613</v>
      </c>
      <c r="H75" s="4" t="s">
        <v>614</v>
      </c>
      <c r="I75" s="4" t="s">
        <v>188</v>
      </c>
      <c r="J75" s="10">
        <v>440</v>
      </c>
      <c r="K75" s="10">
        <v>39</v>
      </c>
      <c r="L75" s="10">
        <v>34</v>
      </c>
      <c r="M75" s="10">
        <v>18</v>
      </c>
      <c r="N75" s="10">
        <v>7</v>
      </c>
      <c r="O75" s="4" t="s">
        <v>302</v>
      </c>
      <c r="P75" s="4" t="s">
        <v>615</v>
      </c>
      <c r="Q75" s="4" t="s">
        <v>616</v>
      </c>
    </row>
    <row r="76" spans="1:17" ht="120" customHeight="1">
      <c r="A76" s="4" t="s">
        <v>617</v>
      </c>
      <c r="B76" s="4" t="s">
        <v>618</v>
      </c>
      <c r="C76" s="4" t="s">
        <v>41</v>
      </c>
      <c r="D76" s="4" t="s">
        <v>619</v>
      </c>
      <c r="E76" s="4" t="s">
        <v>214</v>
      </c>
      <c r="F76" s="4" t="s">
        <v>22</v>
      </c>
      <c r="G76" s="4" t="s">
        <v>620</v>
      </c>
      <c r="H76" s="4" t="s">
        <v>621</v>
      </c>
      <c r="I76" s="4" t="s">
        <v>188</v>
      </c>
      <c r="J76" s="10">
        <v>360</v>
      </c>
      <c r="K76" s="10">
        <v>52</v>
      </c>
      <c r="L76" s="10">
        <v>14</v>
      </c>
      <c r="M76" s="10">
        <v>11</v>
      </c>
      <c r="N76" s="10">
        <v>6</v>
      </c>
      <c r="O76" s="4" t="s">
        <v>302</v>
      </c>
      <c r="P76" s="4" t="s">
        <v>622</v>
      </c>
      <c r="Q76" s="4" t="s">
        <v>623</v>
      </c>
    </row>
    <row r="77" spans="1:17" ht="120" customHeight="1">
      <c r="A77" s="4" t="s">
        <v>624</v>
      </c>
      <c r="B77" s="4" t="s">
        <v>625</v>
      </c>
      <c r="C77" s="4" t="s">
        <v>41</v>
      </c>
      <c r="D77" s="4" t="s">
        <v>626</v>
      </c>
      <c r="E77" s="4" t="s">
        <v>74</v>
      </c>
      <c r="F77" s="4" t="s">
        <v>22</v>
      </c>
      <c r="G77" s="4" t="s">
        <v>627</v>
      </c>
      <c r="H77" s="4" t="s">
        <v>628</v>
      </c>
      <c r="I77" s="4" t="s">
        <v>188</v>
      </c>
      <c r="J77" s="10">
        <v>390</v>
      </c>
      <c r="K77" s="10">
        <v>43</v>
      </c>
      <c r="L77" s="10">
        <v>13</v>
      </c>
      <c r="M77" s="10">
        <v>19</v>
      </c>
      <c r="N77" s="10">
        <v>4</v>
      </c>
      <c r="O77" s="4" t="s">
        <v>302</v>
      </c>
      <c r="P77" s="4" t="s">
        <v>629</v>
      </c>
      <c r="Q77" s="4" t="s">
        <v>630</v>
      </c>
    </row>
    <row r="78" spans="1:17" ht="120" customHeight="1">
      <c r="A78" s="4" t="s">
        <v>631</v>
      </c>
      <c r="B78" s="4" t="s">
        <v>632</v>
      </c>
      <c r="C78" s="4" t="s">
        <v>41</v>
      </c>
      <c r="D78" s="4" t="s">
        <v>605</v>
      </c>
      <c r="E78" s="4" t="s">
        <v>74</v>
      </c>
      <c r="F78" s="4" t="s">
        <v>22</v>
      </c>
      <c r="G78" s="4" t="s">
        <v>633</v>
      </c>
      <c r="H78" s="4" t="s">
        <v>634</v>
      </c>
      <c r="I78" s="4" t="s">
        <v>188</v>
      </c>
      <c r="J78" s="10">
        <v>430</v>
      </c>
      <c r="K78" s="10">
        <v>46</v>
      </c>
      <c r="L78" s="10">
        <v>23</v>
      </c>
      <c r="M78" s="10">
        <v>17</v>
      </c>
      <c r="N78" s="10">
        <v>8</v>
      </c>
      <c r="O78" s="4" t="s">
        <v>302</v>
      </c>
      <c r="P78" s="4" t="s">
        <v>635</v>
      </c>
      <c r="Q78" s="4" t="s">
        <v>636</v>
      </c>
    </row>
    <row r="79" spans="1:17" ht="120" customHeight="1">
      <c r="A79" s="4" t="s">
        <v>637</v>
      </c>
      <c r="B79" s="4" t="s">
        <v>638</v>
      </c>
      <c r="C79" s="4" t="s">
        <v>41</v>
      </c>
      <c r="D79" s="4" t="s">
        <v>639</v>
      </c>
      <c r="E79" s="4" t="s">
        <v>74</v>
      </c>
      <c r="F79" s="4" t="s">
        <v>22</v>
      </c>
      <c r="G79" s="4" t="s">
        <v>640</v>
      </c>
      <c r="H79" s="4" t="s">
        <v>641</v>
      </c>
      <c r="I79" s="4" t="s">
        <v>188</v>
      </c>
      <c r="J79" s="10">
        <v>380</v>
      </c>
      <c r="K79" s="10">
        <v>46</v>
      </c>
      <c r="L79" s="10">
        <v>17</v>
      </c>
      <c r="M79" s="10">
        <v>15</v>
      </c>
      <c r="N79" s="10">
        <v>7</v>
      </c>
      <c r="O79" s="4" t="s">
        <v>302</v>
      </c>
      <c r="P79" s="4" t="s">
        <v>642</v>
      </c>
      <c r="Q79" s="4" t="s">
        <v>643</v>
      </c>
    </row>
    <row r="80" spans="1:17" ht="120" customHeight="1">
      <c r="A80" s="4" t="s">
        <v>644</v>
      </c>
      <c r="B80" s="4" t="s">
        <v>645</v>
      </c>
      <c r="C80" s="4" t="s">
        <v>41</v>
      </c>
      <c r="D80" s="4" t="s">
        <v>639</v>
      </c>
      <c r="E80" s="4" t="s">
        <v>74</v>
      </c>
      <c r="F80" s="4" t="s">
        <v>22</v>
      </c>
      <c r="G80" s="4" t="s">
        <v>646</v>
      </c>
      <c r="H80" s="4" t="s">
        <v>647</v>
      </c>
      <c r="I80" s="4" t="s">
        <v>188</v>
      </c>
      <c r="J80" s="10">
        <v>455</v>
      </c>
      <c r="K80" s="10">
        <v>37</v>
      </c>
      <c r="L80" s="10">
        <v>12</v>
      </c>
      <c r="M80" s="10">
        <v>29</v>
      </c>
      <c r="N80" s="10">
        <v>5</v>
      </c>
      <c r="O80" s="4" t="s">
        <v>310</v>
      </c>
      <c r="P80" s="4" t="s">
        <v>648</v>
      </c>
      <c r="Q80" s="4" t="s">
        <v>649</v>
      </c>
    </row>
    <row r="81" spans="1:17" ht="120" customHeight="1">
      <c r="A81" s="4" t="s">
        <v>650</v>
      </c>
      <c r="B81" s="4" t="s">
        <v>651</v>
      </c>
      <c r="C81" s="4" t="s">
        <v>41</v>
      </c>
      <c r="D81" s="4" t="s">
        <v>619</v>
      </c>
      <c r="E81" s="4" t="s">
        <v>652</v>
      </c>
      <c r="F81" s="4" t="s">
        <v>22</v>
      </c>
      <c r="G81" s="4" t="s">
        <v>653</v>
      </c>
      <c r="H81" s="4" t="s">
        <v>654</v>
      </c>
      <c r="I81" s="4" t="s">
        <v>188</v>
      </c>
      <c r="J81" s="10">
        <v>390</v>
      </c>
      <c r="K81" s="10">
        <v>43</v>
      </c>
      <c r="L81" s="10">
        <v>20</v>
      </c>
      <c r="M81" s="10">
        <v>15</v>
      </c>
      <c r="N81" s="10">
        <v>6</v>
      </c>
      <c r="O81" s="4" t="s">
        <v>46</v>
      </c>
      <c r="P81" s="4" t="s">
        <v>655</v>
      </c>
      <c r="Q81" s="4" t="s">
        <v>656</v>
      </c>
    </row>
    <row r="82" spans="1:17" ht="120" customHeight="1">
      <c r="A82" s="4" t="s">
        <v>657</v>
      </c>
      <c r="B82" s="4" t="s">
        <v>658</v>
      </c>
      <c r="C82" s="4" t="s">
        <v>41</v>
      </c>
      <c r="D82" s="4" t="s">
        <v>659</v>
      </c>
      <c r="E82" s="4" t="s">
        <v>74</v>
      </c>
      <c r="F82" s="4" t="s">
        <v>22</v>
      </c>
      <c r="G82" s="4" t="s">
        <v>660</v>
      </c>
      <c r="H82" s="4" t="s">
        <v>661</v>
      </c>
      <c r="I82" s="4" t="s">
        <v>188</v>
      </c>
      <c r="J82" s="10">
        <v>390</v>
      </c>
      <c r="K82" s="10">
        <v>43</v>
      </c>
      <c r="L82" s="10">
        <v>30</v>
      </c>
      <c r="M82" s="10">
        <v>11</v>
      </c>
      <c r="N82" s="10">
        <v>7</v>
      </c>
      <c r="O82" s="4" t="s">
        <v>662</v>
      </c>
      <c r="P82" s="4" t="s">
        <v>663</v>
      </c>
      <c r="Q82" s="4" t="s">
        <v>664</v>
      </c>
    </row>
    <row r="83" spans="1:17" ht="120" customHeight="1">
      <c r="A83" s="4" t="s">
        <v>665</v>
      </c>
      <c r="B83" s="4" t="s">
        <v>666</v>
      </c>
      <c r="C83" s="4" t="s">
        <v>41</v>
      </c>
      <c r="D83" s="4" t="s">
        <v>667</v>
      </c>
      <c r="E83" s="4" t="s">
        <v>74</v>
      </c>
      <c r="F83" s="4" t="s">
        <v>22</v>
      </c>
      <c r="G83" s="4" t="s">
        <v>668</v>
      </c>
      <c r="H83" s="4" t="s">
        <v>669</v>
      </c>
      <c r="I83" s="4" t="s">
        <v>188</v>
      </c>
      <c r="J83" s="10">
        <v>410</v>
      </c>
      <c r="K83" s="10">
        <v>37</v>
      </c>
      <c r="L83" s="10">
        <v>15</v>
      </c>
      <c r="M83" s="10">
        <v>23</v>
      </c>
      <c r="N83" s="10">
        <v>6</v>
      </c>
      <c r="O83" s="4" t="s">
        <v>670</v>
      </c>
      <c r="P83" s="4" t="s">
        <v>671</v>
      </c>
      <c r="Q83" s="4" t="s">
        <v>672</v>
      </c>
    </row>
    <row r="84" spans="1:17" ht="120" customHeight="1">
      <c r="A84" s="4" t="s">
        <v>673</v>
      </c>
      <c r="B84" s="4" t="s">
        <v>674</v>
      </c>
      <c r="C84" s="4" t="s">
        <v>41</v>
      </c>
      <c r="D84" s="4" t="s">
        <v>675</v>
      </c>
      <c r="E84" s="4" t="s">
        <v>74</v>
      </c>
      <c r="F84" s="4" t="s">
        <v>22</v>
      </c>
      <c r="G84" s="4" t="s">
        <v>676</v>
      </c>
      <c r="H84" s="4" t="s">
        <v>677</v>
      </c>
      <c r="I84" s="4" t="s">
        <v>188</v>
      </c>
      <c r="J84" s="10">
        <v>405</v>
      </c>
      <c r="K84" s="10">
        <v>35</v>
      </c>
      <c r="L84" s="10">
        <v>33</v>
      </c>
      <c r="M84" s="10">
        <v>15</v>
      </c>
      <c r="N84" s="10">
        <v>7</v>
      </c>
      <c r="O84" s="4" t="s">
        <v>248</v>
      </c>
      <c r="P84" s="4" t="s">
        <v>678</v>
      </c>
      <c r="Q84" s="4" t="s">
        <v>679</v>
      </c>
    </row>
    <row r="85" spans="1:17" ht="120" customHeight="1">
      <c r="A85" s="4" t="s">
        <v>680</v>
      </c>
      <c r="B85" s="4" t="s">
        <v>681</v>
      </c>
      <c r="C85" s="4" t="s">
        <v>41</v>
      </c>
      <c r="D85" s="4" t="s">
        <v>682</v>
      </c>
      <c r="E85" s="4" t="s">
        <v>652</v>
      </c>
      <c r="F85" s="4" t="s">
        <v>22</v>
      </c>
      <c r="G85" s="4" t="s">
        <v>683</v>
      </c>
      <c r="H85" s="4" t="s">
        <v>684</v>
      </c>
      <c r="I85" s="4" t="s">
        <v>188</v>
      </c>
      <c r="J85" s="10">
        <v>370</v>
      </c>
      <c r="K85" s="10">
        <v>42</v>
      </c>
      <c r="L85" s="10">
        <v>29</v>
      </c>
      <c r="M85" s="10">
        <v>9</v>
      </c>
      <c r="N85" s="10">
        <v>6</v>
      </c>
      <c r="O85" s="4" t="s">
        <v>662</v>
      </c>
      <c r="P85" s="4" t="s">
        <v>685</v>
      </c>
      <c r="Q85" s="4" t="s">
        <v>686</v>
      </c>
    </row>
    <row r="86" spans="1:17" ht="120" customHeight="1">
      <c r="A86" s="4" t="s">
        <v>687</v>
      </c>
      <c r="B86" s="4" t="s">
        <v>688</v>
      </c>
      <c r="C86" s="4" t="s">
        <v>41</v>
      </c>
      <c r="D86" s="4" t="s">
        <v>689</v>
      </c>
      <c r="E86" s="4" t="s">
        <v>74</v>
      </c>
      <c r="F86" s="4" t="s">
        <v>22</v>
      </c>
      <c r="G86" s="4" t="s">
        <v>690</v>
      </c>
      <c r="H86" s="4" t="s">
        <v>691</v>
      </c>
      <c r="I86" s="4" t="s">
        <v>188</v>
      </c>
      <c r="J86" s="10">
        <v>510</v>
      </c>
      <c r="K86" s="10">
        <v>32</v>
      </c>
      <c r="L86" s="10">
        <v>14</v>
      </c>
      <c r="M86" s="10">
        <v>36</v>
      </c>
      <c r="N86" s="10">
        <v>7</v>
      </c>
      <c r="O86" s="4" t="s">
        <v>692</v>
      </c>
      <c r="P86" s="4" t="s">
        <v>693</v>
      </c>
      <c r="Q86" s="4" t="s">
        <v>694</v>
      </c>
    </row>
    <row r="87" spans="1:17" ht="120" customHeight="1">
      <c r="A87" s="4" t="s">
        <v>695</v>
      </c>
      <c r="B87" s="4" t="s">
        <v>696</v>
      </c>
      <c r="C87" s="4" t="s">
        <v>41</v>
      </c>
      <c r="D87" s="4" t="s">
        <v>697</v>
      </c>
      <c r="E87" s="4" t="s">
        <v>74</v>
      </c>
      <c r="F87" s="4" t="s">
        <v>22</v>
      </c>
      <c r="G87" s="4" t="s">
        <v>698</v>
      </c>
      <c r="H87" s="4" t="s">
        <v>699</v>
      </c>
      <c r="I87" s="4" t="s">
        <v>188</v>
      </c>
      <c r="J87" s="10">
        <v>430</v>
      </c>
      <c r="K87" s="10">
        <v>42</v>
      </c>
      <c r="L87" s="10">
        <v>37</v>
      </c>
      <c r="M87" s="10">
        <v>13</v>
      </c>
      <c r="N87" s="10">
        <v>10</v>
      </c>
      <c r="O87" s="4" t="s">
        <v>248</v>
      </c>
      <c r="P87" s="4" t="s">
        <v>700</v>
      </c>
      <c r="Q87" s="4" t="s">
        <v>701</v>
      </c>
    </row>
    <row r="88" spans="1:17" ht="120" customHeight="1">
      <c r="A88" s="4" t="s">
        <v>702</v>
      </c>
      <c r="B88" s="4" t="s">
        <v>703</v>
      </c>
      <c r="C88" s="4" t="s">
        <v>41</v>
      </c>
      <c r="D88" s="4" t="s">
        <v>704</v>
      </c>
      <c r="E88" s="4" t="s">
        <v>74</v>
      </c>
      <c r="F88" s="4" t="s">
        <v>22</v>
      </c>
      <c r="G88" s="4" t="s">
        <v>705</v>
      </c>
      <c r="H88" s="4" t="s">
        <v>706</v>
      </c>
      <c r="I88" s="4" t="s">
        <v>188</v>
      </c>
      <c r="J88" s="10">
        <v>405</v>
      </c>
      <c r="K88" s="10">
        <v>49</v>
      </c>
      <c r="L88" s="10">
        <v>17</v>
      </c>
      <c r="M88" s="10">
        <v>16</v>
      </c>
      <c r="N88" s="10">
        <v>4</v>
      </c>
      <c r="O88" s="4" t="s">
        <v>707</v>
      </c>
      <c r="P88" s="4" t="s">
        <v>708</v>
      </c>
      <c r="Q88" s="4" t="s">
        <v>709</v>
      </c>
    </row>
    <row r="89" spans="1:17" ht="120" customHeight="1">
      <c r="A89" s="4" t="s">
        <v>710</v>
      </c>
      <c r="B89" s="4" t="s">
        <v>711</v>
      </c>
      <c r="C89" s="4" t="s">
        <v>41</v>
      </c>
      <c r="D89" s="4" t="s">
        <v>682</v>
      </c>
      <c r="E89" s="4" t="s">
        <v>74</v>
      </c>
      <c r="F89" s="4" t="s">
        <v>22</v>
      </c>
      <c r="G89" s="4" t="s">
        <v>712</v>
      </c>
      <c r="H89" s="4" t="s">
        <v>713</v>
      </c>
      <c r="I89" s="4" t="s">
        <v>188</v>
      </c>
      <c r="J89" s="10">
        <v>350</v>
      </c>
      <c r="K89" s="10">
        <v>37</v>
      </c>
      <c r="L89" s="10">
        <v>24</v>
      </c>
      <c r="M89" s="10">
        <v>12</v>
      </c>
      <c r="N89" s="10">
        <v>5</v>
      </c>
      <c r="O89" s="4" t="s">
        <v>248</v>
      </c>
      <c r="P89" s="4" t="s">
        <v>714</v>
      </c>
      <c r="Q89" s="4" t="s">
        <v>715</v>
      </c>
    </row>
    <row r="90" spans="1:17" ht="120" customHeight="1">
      <c r="A90" s="4" t="s">
        <v>716</v>
      </c>
      <c r="B90" s="4" t="s">
        <v>717</v>
      </c>
      <c r="C90" s="4" t="s">
        <v>41</v>
      </c>
      <c r="D90" s="4" t="s">
        <v>718</v>
      </c>
      <c r="E90" s="4" t="s">
        <v>74</v>
      </c>
      <c r="F90" s="4" t="s">
        <v>22</v>
      </c>
      <c r="G90" s="4" t="s">
        <v>719</v>
      </c>
      <c r="H90" s="4" t="s">
        <v>720</v>
      </c>
      <c r="I90" s="4" t="s">
        <v>188</v>
      </c>
      <c r="J90" s="10">
        <v>390</v>
      </c>
      <c r="K90" s="10">
        <v>20</v>
      </c>
      <c r="L90" s="10">
        <v>40</v>
      </c>
      <c r="M90" s="10">
        <v>17</v>
      </c>
      <c r="N90" s="10">
        <v>8</v>
      </c>
      <c r="O90" s="4" t="s">
        <v>248</v>
      </c>
      <c r="P90" s="4" t="s">
        <v>721</v>
      </c>
      <c r="Q90" s="4" t="s">
        <v>722</v>
      </c>
    </row>
    <row r="91" spans="1:17" ht="120" customHeight="1">
      <c r="A91" s="4" t="s">
        <v>723</v>
      </c>
      <c r="B91" s="4" t="s">
        <v>724</v>
      </c>
      <c r="C91" s="4" t="s">
        <v>41</v>
      </c>
      <c r="D91" s="4" t="s">
        <v>725</v>
      </c>
      <c r="E91" s="4" t="s">
        <v>726</v>
      </c>
      <c r="F91" s="4" t="s">
        <v>22</v>
      </c>
      <c r="G91" s="4" t="s">
        <v>727</v>
      </c>
      <c r="H91" s="4" t="s">
        <v>728</v>
      </c>
      <c r="I91" s="4" t="s">
        <v>188</v>
      </c>
      <c r="J91" s="10">
        <v>440</v>
      </c>
      <c r="K91" s="10">
        <v>39</v>
      </c>
      <c r="L91" s="10">
        <v>30</v>
      </c>
      <c r="M91" s="10">
        <v>19</v>
      </c>
      <c r="N91" s="10">
        <v>9</v>
      </c>
      <c r="O91" s="4" t="s">
        <v>106</v>
      </c>
      <c r="P91" s="4" t="s">
        <v>729</v>
      </c>
      <c r="Q91" s="4" t="s">
        <v>730</v>
      </c>
    </row>
    <row r="92" spans="1:17" ht="120" customHeight="1">
      <c r="A92" s="4" t="s">
        <v>731</v>
      </c>
      <c r="B92" s="4" t="s">
        <v>732</v>
      </c>
      <c r="C92" s="4" t="s">
        <v>733</v>
      </c>
      <c r="D92" s="4" t="s">
        <v>734</v>
      </c>
      <c r="E92" s="4" t="s">
        <v>278</v>
      </c>
      <c r="F92" s="4" t="s">
        <v>155</v>
      </c>
      <c r="G92" s="4" t="s">
        <v>735</v>
      </c>
      <c r="H92" s="4" t="s">
        <v>736</v>
      </c>
      <c r="I92" s="4" t="s">
        <v>158</v>
      </c>
      <c r="J92" s="10">
        <v>35</v>
      </c>
      <c r="K92" s="10">
        <v>0.6</v>
      </c>
      <c r="L92" s="10">
        <v>2.5</v>
      </c>
      <c r="M92" s="10">
        <v>2.5</v>
      </c>
      <c r="N92" s="10">
        <v>0.1</v>
      </c>
      <c r="O92" s="4" t="s">
        <v>46</v>
      </c>
      <c r="P92" s="4" t="s">
        <v>737</v>
      </c>
      <c r="Q92" s="4" t="s">
        <v>738</v>
      </c>
    </row>
    <row r="93" spans="1:17" ht="120" customHeight="1">
      <c r="A93" s="4" t="s">
        <v>739</v>
      </c>
      <c r="B93" s="4" t="s">
        <v>740</v>
      </c>
      <c r="C93" s="4" t="s">
        <v>733</v>
      </c>
      <c r="D93" s="4" t="s">
        <v>741</v>
      </c>
      <c r="E93" s="4" t="s">
        <v>278</v>
      </c>
      <c r="F93" s="4" t="s">
        <v>155</v>
      </c>
      <c r="G93" s="4" t="s">
        <v>742</v>
      </c>
      <c r="H93" s="4" t="s">
        <v>743</v>
      </c>
      <c r="I93" s="4" t="s">
        <v>158</v>
      </c>
      <c r="J93" s="10">
        <v>27</v>
      </c>
      <c r="K93" s="10">
        <v>0.8</v>
      </c>
      <c r="L93" s="10">
        <v>1.3</v>
      </c>
      <c r="M93" s="10">
        <v>2</v>
      </c>
      <c r="N93" s="10">
        <v>0.1</v>
      </c>
      <c r="O93" s="4" t="s">
        <v>302</v>
      </c>
      <c r="P93" s="4" t="s">
        <v>744</v>
      </c>
      <c r="Q93" s="4" t="s">
        <v>745</v>
      </c>
    </row>
    <row r="94" spans="1:17" ht="120" customHeight="1">
      <c r="A94" s="4" t="s">
        <v>746</v>
      </c>
      <c r="B94" s="4" t="s">
        <v>747</v>
      </c>
      <c r="C94" s="4" t="s">
        <v>733</v>
      </c>
      <c r="D94" s="4" t="s">
        <v>748</v>
      </c>
      <c r="E94" s="4" t="s">
        <v>278</v>
      </c>
      <c r="F94" s="4" t="s">
        <v>155</v>
      </c>
      <c r="G94" s="4" t="s">
        <v>749</v>
      </c>
      <c r="H94" s="4" t="s">
        <v>750</v>
      </c>
      <c r="I94" s="4" t="s">
        <v>751</v>
      </c>
      <c r="J94" s="10">
        <v>24</v>
      </c>
      <c r="K94" s="10">
        <v>0.2</v>
      </c>
      <c r="L94" s="10">
        <v>2.2000000000000002</v>
      </c>
      <c r="M94" s="10">
        <v>1.7</v>
      </c>
      <c r="N94" s="10">
        <v>0.1</v>
      </c>
      <c r="O94" s="4" t="s">
        <v>310</v>
      </c>
      <c r="P94" s="4" t="s">
        <v>752</v>
      </c>
      <c r="Q94" s="4" t="s">
        <v>753</v>
      </c>
    </row>
    <row r="95" spans="1:17" ht="120" customHeight="1">
      <c r="A95" s="4" t="s">
        <v>754</v>
      </c>
      <c r="B95" s="4" t="s">
        <v>755</v>
      </c>
      <c r="C95" s="4" t="s">
        <v>756</v>
      </c>
      <c r="D95" s="4" t="s">
        <v>734</v>
      </c>
      <c r="E95" s="4" t="s">
        <v>21</v>
      </c>
      <c r="F95" s="4" t="s">
        <v>155</v>
      </c>
      <c r="G95" s="4" t="s">
        <v>757</v>
      </c>
      <c r="H95" s="4" t="s">
        <v>758</v>
      </c>
      <c r="I95" s="4" t="s">
        <v>751</v>
      </c>
      <c r="J95" s="10">
        <v>28</v>
      </c>
      <c r="K95" s="10">
        <v>0.7</v>
      </c>
      <c r="L95" s="10">
        <v>1.4</v>
      </c>
      <c r="M95" s="10">
        <v>2.2000000000000002</v>
      </c>
      <c r="N95" s="10">
        <v>0.1</v>
      </c>
      <c r="O95" s="4" t="s">
        <v>302</v>
      </c>
      <c r="P95" s="4" t="s">
        <v>759</v>
      </c>
      <c r="Q95" s="4" t="s">
        <v>760</v>
      </c>
    </row>
    <row r="96" spans="1:17" ht="120" customHeight="1">
      <c r="A96" s="4" t="s">
        <v>761</v>
      </c>
      <c r="B96" s="4" t="s">
        <v>762</v>
      </c>
      <c r="C96" s="4" t="s">
        <v>733</v>
      </c>
      <c r="D96" s="4" t="s">
        <v>763</v>
      </c>
      <c r="E96" s="4" t="s">
        <v>764</v>
      </c>
      <c r="F96" s="4" t="s">
        <v>155</v>
      </c>
      <c r="G96" s="4" t="s">
        <v>765</v>
      </c>
      <c r="H96" s="4" t="s">
        <v>766</v>
      </c>
      <c r="I96" s="4" t="s">
        <v>77</v>
      </c>
      <c r="J96" s="10">
        <v>45</v>
      </c>
      <c r="K96" s="10">
        <v>0</v>
      </c>
      <c r="L96" s="10">
        <v>0.5</v>
      </c>
      <c r="M96" s="10">
        <v>5</v>
      </c>
      <c r="N96" s="10">
        <v>0</v>
      </c>
      <c r="O96" s="4" t="s">
        <v>767</v>
      </c>
      <c r="P96" s="4" t="s">
        <v>768</v>
      </c>
      <c r="Q96" s="4" t="s">
        <v>769</v>
      </c>
    </row>
    <row r="97" spans="1:17" ht="120" customHeight="1">
      <c r="A97" s="4" t="s">
        <v>770</v>
      </c>
      <c r="B97" s="4" t="s">
        <v>771</v>
      </c>
      <c r="C97" s="4" t="s">
        <v>733</v>
      </c>
      <c r="D97" s="4" t="s">
        <v>734</v>
      </c>
      <c r="E97" s="4" t="s">
        <v>278</v>
      </c>
      <c r="F97" s="4" t="s">
        <v>155</v>
      </c>
      <c r="G97" s="4" t="s">
        <v>772</v>
      </c>
      <c r="H97" s="4" t="s">
        <v>773</v>
      </c>
      <c r="I97" s="4" t="s">
        <v>751</v>
      </c>
      <c r="J97" s="10">
        <v>15</v>
      </c>
      <c r="K97" s="10">
        <v>0.6</v>
      </c>
      <c r="L97" s="10">
        <v>2</v>
      </c>
      <c r="M97" s="10">
        <v>0.5</v>
      </c>
      <c r="N97" s="10">
        <v>0.1</v>
      </c>
      <c r="O97" s="4" t="s">
        <v>302</v>
      </c>
      <c r="P97" s="4" t="s">
        <v>774</v>
      </c>
      <c r="Q97" s="4" t="s">
        <v>775</v>
      </c>
    </row>
    <row r="98" spans="1:17" ht="120" customHeight="1">
      <c r="A98" s="4" t="s">
        <v>776</v>
      </c>
      <c r="B98" s="4" t="s">
        <v>777</v>
      </c>
      <c r="C98" s="4" t="s">
        <v>733</v>
      </c>
      <c r="D98" s="4" t="s">
        <v>778</v>
      </c>
      <c r="E98" s="4" t="s">
        <v>764</v>
      </c>
      <c r="F98" s="4" t="s">
        <v>155</v>
      </c>
      <c r="G98" s="4" t="s">
        <v>779</v>
      </c>
      <c r="H98" s="4" t="s">
        <v>780</v>
      </c>
      <c r="I98" s="4" t="s">
        <v>77</v>
      </c>
      <c r="J98" s="10">
        <v>35</v>
      </c>
      <c r="K98" s="10">
        <v>0</v>
      </c>
      <c r="L98" s="10">
        <v>4</v>
      </c>
      <c r="M98" s="10">
        <v>2.5</v>
      </c>
      <c r="N98" s="10">
        <v>0</v>
      </c>
      <c r="O98" s="4" t="s">
        <v>781</v>
      </c>
      <c r="P98" s="4" t="s">
        <v>782</v>
      </c>
      <c r="Q98" s="4" t="s">
        <v>783</v>
      </c>
    </row>
    <row r="99" spans="1:17" ht="120" customHeight="1">
      <c r="A99" s="4" t="s">
        <v>784</v>
      </c>
      <c r="B99" s="4" t="s">
        <v>785</v>
      </c>
      <c r="C99" s="4" t="s">
        <v>733</v>
      </c>
      <c r="D99" s="4" t="s">
        <v>786</v>
      </c>
      <c r="E99" s="4" t="s">
        <v>787</v>
      </c>
      <c r="F99" s="4" t="s">
        <v>155</v>
      </c>
      <c r="G99" s="4" t="s">
        <v>788</v>
      </c>
      <c r="H99" s="4" t="s">
        <v>789</v>
      </c>
      <c r="I99" s="4" t="s">
        <v>751</v>
      </c>
      <c r="J99" s="10">
        <v>46</v>
      </c>
      <c r="K99" s="10">
        <v>2.7</v>
      </c>
      <c r="L99" s="10">
        <v>1.2</v>
      </c>
      <c r="M99" s="10">
        <v>3.5</v>
      </c>
      <c r="N99" s="10">
        <v>0</v>
      </c>
      <c r="O99" s="4" t="s">
        <v>302</v>
      </c>
      <c r="P99" s="4" t="s">
        <v>790</v>
      </c>
      <c r="Q99" s="4" t="s">
        <v>791</v>
      </c>
    </row>
    <row r="100" spans="1:17" ht="120" customHeight="1">
      <c r="A100" s="4" t="s">
        <v>792</v>
      </c>
      <c r="B100" s="4" t="s">
        <v>793</v>
      </c>
      <c r="C100" s="4" t="s">
        <v>733</v>
      </c>
      <c r="D100" s="4" t="s">
        <v>794</v>
      </c>
      <c r="E100" s="4" t="s">
        <v>787</v>
      </c>
      <c r="F100" s="4" t="s">
        <v>155</v>
      </c>
      <c r="G100" s="4" t="s">
        <v>795</v>
      </c>
      <c r="H100" s="4" t="s">
        <v>796</v>
      </c>
      <c r="I100" s="4" t="s">
        <v>751</v>
      </c>
      <c r="J100" s="10">
        <v>32</v>
      </c>
      <c r="K100" s="10">
        <v>0.3</v>
      </c>
      <c r="L100" s="10">
        <v>4</v>
      </c>
      <c r="M100" s="10">
        <v>1.7</v>
      </c>
      <c r="N100" s="10">
        <v>0.6</v>
      </c>
      <c r="O100" s="4" t="s">
        <v>302</v>
      </c>
      <c r="P100" s="4" t="s">
        <v>797</v>
      </c>
      <c r="Q100" s="4" t="s">
        <v>798</v>
      </c>
    </row>
    <row r="101" spans="1:17" ht="120" customHeight="1">
      <c r="A101" s="4" t="s">
        <v>799</v>
      </c>
      <c r="B101" s="4" t="s">
        <v>800</v>
      </c>
      <c r="C101" s="4" t="s">
        <v>756</v>
      </c>
      <c r="D101" s="4" t="s">
        <v>734</v>
      </c>
      <c r="E101" s="4" t="s">
        <v>278</v>
      </c>
      <c r="F101" s="4" t="s">
        <v>155</v>
      </c>
      <c r="G101" s="4" t="s">
        <v>801</v>
      </c>
      <c r="H101" s="4" t="s">
        <v>802</v>
      </c>
      <c r="I101" s="4" t="s">
        <v>87</v>
      </c>
      <c r="J101" s="10">
        <v>27</v>
      </c>
      <c r="K101" s="10">
        <v>1</v>
      </c>
      <c r="L101" s="10">
        <v>1.3</v>
      </c>
      <c r="M101" s="10">
        <v>2</v>
      </c>
      <c r="N101" s="10">
        <v>0.1</v>
      </c>
      <c r="O101" s="4" t="s">
        <v>46</v>
      </c>
      <c r="P101" s="4" t="s">
        <v>803</v>
      </c>
      <c r="Q101" s="4" t="s">
        <v>804</v>
      </c>
    </row>
    <row r="102" spans="1:17" ht="120" customHeight="1">
      <c r="A102" s="4" t="s">
        <v>805</v>
      </c>
      <c r="B102" s="4" t="s">
        <v>806</v>
      </c>
      <c r="C102" s="4" t="s">
        <v>807</v>
      </c>
      <c r="D102" s="4" t="s">
        <v>808</v>
      </c>
      <c r="E102" s="4" t="s">
        <v>74</v>
      </c>
      <c r="F102" s="4" t="s">
        <v>22</v>
      </c>
      <c r="G102" s="4" t="s">
        <v>809</v>
      </c>
      <c r="H102" s="4" t="s">
        <v>810</v>
      </c>
      <c r="I102" s="4" t="s">
        <v>77</v>
      </c>
      <c r="J102" s="10">
        <v>78</v>
      </c>
      <c r="K102" s="10">
        <v>2</v>
      </c>
      <c r="L102" s="10">
        <v>16</v>
      </c>
      <c r="M102" s="10">
        <v>1</v>
      </c>
      <c r="N102" s="10">
        <v>4</v>
      </c>
      <c r="O102" s="4" t="s">
        <v>811</v>
      </c>
      <c r="P102" s="4" t="s">
        <v>812</v>
      </c>
      <c r="Q102" s="4" t="s">
        <v>813</v>
      </c>
    </row>
    <row r="103" spans="1:17" ht="120" customHeight="1">
      <c r="A103" s="4" t="s">
        <v>814</v>
      </c>
      <c r="B103" s="4" t="s">
        <v>815</v>
      </c>
      <c r="C103" s="4" t="s">
        <v>816</v>
      </c>
      <c r="D103" s="4" t="s">
        <v>817</v>
      </c>
      <c r="E103" s="4" t="s">
        <v>245</v>
      </c>
      <c r="F103" s="4" t="s">
        <v>22</v>
      </c>
      <c r="G103" s="4" t="s">
        <v>818</v>
      </c>
      <c r="H103" s="4" t="s">
        <v>819</v>
      </c>
      <c r="I103" s="4" t="s">
        <v>77</v>
      </c>
      <c r="J103" s="10">
        <v>72</v>
      </c>
      <c r="K103" s="10">
        <v>1.5</v>
      </c>
      <c r="L103" s="10">
        <v>11</v>
      </c>
      <c r="M103" s="10">
        <v>2.5</v>
      </c>
      <c r="N103" s="10">
        <v>2.5</v>
      </c>
      <c r="O103" s="4" t="s">
        <v>820</v>
      </c>
      <c r="P103" s="4" t="s">
        <v>821</v>
      </c>
      <c r="Q103" s="4" t="s">
        <v>822</v>
      </c>
    </row>
    <row r="104" spans="1:17" ht="120" customHeight="1">
      <c r="A104" s="4" t="s">
        <v>823</v>
      </c>
      <c r="B104" s="4" t="s">
        <v>824</v>
      </c>
      <c r="C104" s="4" t="s">
        <v>816</v>
      </c>
      <c r="D104" s="4" t="s">
        <v>817</v>
      </c>
      <c r="E104" s="4" t="s">
        <v>214</v>
      </c>
      <c r="F104" s="4" t="s">
        <v>22</v>
      </c>
      <c r="G104" s="4" t="s">
        <v>825</v>
      </c>
      <c r="H104" s="4" t="s">
        <v>826</v>
      </c>
      <c r="I104" s="4" t="s">
        <v>77</v>
      </c>
      <c r="J104" s="10">
        <v>43</v>
      </c>
      <c r="K104" s="10">
        <v>2</v>
      </c>
      <c r="L104" s="10">
        <v>7</v>
      </c>
      <c r="M104" s="10">
        <v>1</v>
      </c>
      <c r="N104" s="10">
        <v>1.5</v>
      </c>
      <c r="O104" s="4" t="s">
        <v>248</v>
      </c>
      <c r="P104" s="4" t="s">
        <v>827</v>
      </c>
      <c r="Q104" s="4" t="s">
        <v>828</v>
      </c>
    </row>
    <row r="105" spans="1:17" ht="120" customHeight="1">
      <c r="A105" s="4" t="s">
        <v>829</v>
      </c>
      <c r="B105" s="4" t="s">
        <v>830</v>
      </c>
      <c r="C105" s="4" t="s">
        <v>816</v>
      </c>
      <c r="D105" s="4" t="s">
        <v>831</v>
      </c>
      <c r="E105" s="4" t="s">
        <v>214</v>
      </c>
      <c r="F105" s="4" t="s">
        <v>22</v>
      </c>
      <c r="G105" s="4" t="s">
        <v>832</v>
      </c>
      <c r="H105" s="4" t="s">
        <v>833</v>
      </c>
      <c r="I105" s="4" t="s">
        <v>77</v>
      </c>
      <c r="J105" s="10">
        <v>86</v>
      </c>
      <c r="K105" s="10">
        <v>1.5</v>
      </c>
      <c r="L105" s="10">
        <v>15</v>
      </c>
      <c r="M105" s="10">
        <v>2.5</v>
      </c>
      <c r="N105" s="10">
        <v>2.5</v>
      </c>
      <c r="O105" s="4" t="s">
        <v>248</v>
      </c>
      <c r="P105" s="4" t="s">
        <v>834</v>
      </c>
      <c r="Q105" s="4" t="s">
        <v>835</v>
      </c>
    </row>
    <row r="106" spans="1:17" ht="120" customHeight="1">
      <c r="A106" s="4" t="s">
        <v>836</v>
      </c>
      <c r="B106" s="4" t="s">
        <v>837</v>
      </c>
      <c r="C106" s="4" t="s">
        <v>816</v>
      </c>
      <c r="D106" s="4" t="s">
        <v>838</v>
      </c>
      <c r="E106" s="4" t="s">
        <v>74</v>
      </c>
      <c r="F106" s="4" t="s">
        <v>22</v>
      </c>
      <c r="G106" s="4" t="s">
        <v>839</v>
      </c>
      <c r="H106" s="4" t="s">
        <v>840</v>
      </c>
      <c r="I106" s="4" t="s">
        <v>77</v>
      </c>
      <c r="J106" s="10">
        <v>56</v>
      </c>
      <c r="K106" s="10">
        <v>2</v>
      </c>
      <c r="L106" s="10">
        <v>7</v>
      </c>
      <c r="M106" s="10">
        <v>2.5</v>
      </c>
      <c r="N106" s="10">
        <v>2</v>
      </c>
      <c r="O106" s="4" t="s">
        <v>248</v>
      </c>
      <c r="P106" s="4" t="s">
        <v>841</v>
      </c>
      <c r="Q106" s="4" t="s">
        <v>842</v>
      </c>
    </row>
    <row r="107" spans="1:17" ht="120" customHeight="1">
      <c r="A107" s="4" t="s">
        <v>843</v>
      </c>
      <c r="B107" s="4" t="s">
        <v>844</v>
      </c>
      <c r="C107" s="4" t="s">
        <v>816</v>
      </c>
      <c r="D107" s="4" t="s">
        <v>845</v>
      </c>
      <c r="E107" s="4" t="s">
        <v>846</v>
      </c>
      <c r="F107" s="4" t="s">
        <v>22</v>
      </c>
      <c r="G107" s="4" t="s">
        <v>847</v>
      </c>
      <c r="H107" s="4" t="s">
        <v>848</v>
      </c>
      <c r="I107" s="4" t="s">
        <v>77</v>
      </c>
      <c r="J107" s="10">
        <v>92</v>
      </c>
      <c r="K107" s="10">
        <v>2</v>
      </c>
      <c r="L107" s="10">
        <v>17</v>
      </c>
      <c r="M107" s="10">
        <v>2.5</v>
      </c>
      <c r="N107" s="10">
        <v>4</v>
      </c>
      <c r="O107" s="4" t="s">
        <v>310</v>
      </c>
      <c r="P107" s="4" t="s">
        <v>849</v>
      </c>
      <c r="Q107" s="4" t="s">
        <v>850</v>
      </c>
    </row>
    <row r="108" spans="1:17" ht="120" customHeight="1">
      <c r="A108" s="4" t="s">
        <v>851</v>
      </c>
      <c r="B108" s="4" t="s">
        <v>852</v>
      </c>
      <c r="C108" s="4" t="s">
        <v>816</v>
      </c>
      <c r="D108" s="4" t="s">
        <v>853</v>
      </c>
      <c r="E108" s="4" t="s">
        <v>214</v>
      </c>
      <c r="F108" s="4" t="s">
        <v>22</v>
      </c>
      <c r="G108" s="4" t="s">
        <v>854</v>
      </c>
      <c r="H108" s="4" t="s">
        <v>855</v>
      </c>
      <c r="I108" s="4" t="s">
        <v>77</v>
      </c>
      <c r="J108" s="10">
        <v>108</v>
      </c>
      <c r="K108" s="10">
        <v>1.5</v>
      </c>
      <c r="L108" s="10">
        <v>21</v>
      </c>
      <c r="M108" s="10">
        <v>2.5</v>
      </c>
      <c r="N108" s="10">
        <v>4</v>
      </c>
      <c r="O108" s="4" t="s">
        <v>248</v>
      </c>
      <c r="P108" s="4" t="s">
        <v>856</v>
      </c>
      <c r="Q108" s="4" t="s">
        <v>857</v>
      </c>
    </row>
    <row r="109" spans="1:17" ht="120" customHeight="1">
      <c r="A109" s="4" t="s">
        <v>858</v>
      </c>
      <c r="B109" s="4" t="s">
        <v>859</v>
      </c>
      <c r="C109" s="4" t="s">
        <v>816</v>
      </c>
      <c r="D109" s="4" t="s">
        <v>860</v>
      </c>
      <c r="E109" s="4" t="s">
        <v>74</v>
      </c>
      <c r="F109" s="4" t="s">
        <v>22</v>
      </c>
      <c r="G109" s="4" t="s">
        <v>861</v>
      </c>
      <c r="H109" s="4" t="s">
        <v>862</v>
      </c>
      <c r="I109" s="4" t="s">
        <v>77</v>
      </c>
      <c r="J109" s="10">
        <v>58</v>
      </c>
      <c r="K109" s="10">
        <v>1.5</v>
      </c>
      <c r="L109" s="10">
        <v>8</v>
      </c>
      <c r="M109" s="10">
        <v>2.5</v>
      </c>
      <c r="N109" s="10">
        <v>2.5</v>
      </c>
      <c r="O109" s="4" t="s">
        <v>310</v>
      </c>
      <c r="P109" s="4" t="s">
        <v>863</v>
      </c>
      <c r="Q109" s="4" t="s">
        <v>864</v>
      </c>
    </row>
    <row r="110" spans="1:17" ht="120" customHeight="1">
      <c r="A110" s="4" t="s">
        <v>865</v>
      </c>
      <c r="B110" s="4" t="s">
        <v>866</v>
      </c>
      <c r="C110" s="4" t="s">
        <v>816</v>
      </c>
      <c r="D110" s="4" t="s">
        <v>867</v>
      </c>
      <c r="E110" s="4" t="s">
        <v>245</v>
      </c>
      <c r="F110" s="4" t="s">
        <v>22</v>
      </c>
      <c r="G110" s="4" t="s">
        <v>868</v>
      </c>
      <c r="H110" s="4" t="s">
        <v>869</v>
      </c>
      <c r="I110" s="4" t="s">
        <v>77</v>
      </c>
      <c r="J110" s="10">
        <v>105</v>
      </c>
      <c r="K110" s="10">
        <v>2</v>
      </c>
      <c r="L110" s="10">
        <v>17</v>
      </c>
      <c r="M110" s="10">
        <v>3</v>
      </c>
      <c r="N110" s="10">
        <v>3</v>
      </c>
      <c r="O110" s="4" t="s">
        <v>662</v>
      </c>
      <c r="P110" s="4" t="s">
        <v>870</v>
      </c>
      <c r="Q110" s="4" t="s">
        <v>871</v>
      </c>
    </row>
    <row r="111" spans="1:17" ht="120" customHeight="1">
      <c r="A111" s="4" t="s">
        <v>872</v>
      </c>
      <c r="B111" s="4" t="s">
        <v>873</v>
      </c>
      <c r="C111" s="4" t="s">
        <v>807</v>
      </c>
      <c r="D111" s="4" t="s">
        <v>874</v>
      </c>
      <c r="E111" s="4" t="s">
        <v>74</v>
      </c>
      <c r="F111" s="4" t="s">
        <v>22</v>
      </c>
      <c r="G111" s="4" t="s">
        <v>875</v>
      </c>
      <c r="H111" s="4" t="s">
        <v>876</v>
      </c>
      <c r="I111" s="4" t="s">
        <v>77</v>
      </c>
      <c r="J111" s="10">
        <v>115</v>
      </c>
      <c r="K111" s="10">
        <v>3</v>
      </c>
      <c r="L111" s="10">
        <v>15</v>
      </c>
      <c r="M111" s="10">
        <v>5</v>
      </c>
      <c r="N111" s="10">
        <v>5</v>
      </c>
      <c r="O111" s="4" t="s">
        <v>46</v>
      </c>
      <c r="P111" s="4" t="s">
        <v>877</v>
      </c>
      <c r="Q111" s="4" t="s">
        <v>878</v>
      </c>
    </row>
    <row r="112" spans="1:17" ht="120" customHeight="1">
      <c r="A112" s="4" t="s">
        <v>879</v>
      </c>
      <c r="B112" s="4" t="s">
        <v>880</v>
      </c>
      <c r="C112" s="4" t="s">
        <v>881</v>
      </c>
      <c r="D112" s="4" t="s">
        <v>882</v>
      </c>
      <c r="E112" s="4" t="s">
        <v>21</v>
      </c>
      <c r="F112" s="4" t="s">
        <v>22</v>
      </c>
      <c r="G112" s="4" t="s">
        <v>883</v>
      </c>
      <c r="H112" s="4" t="s">
        <v>884</v>
      </c>
      <c r="I112" s="4" t="s">
        <v>87</v>
      </c>
      <c r="J112" s="10">
        <v>175</v>
      </c>
      <c r="K112" s="10">
        <v>6</v>
      </c>
      <c r="L112" s="10">
        <v>12</v>
      </c>
      <c r="M112" s="10">
        <v>12</v>
      </c>
      <c r="N112" s="10">
        <v>2</v>
      </c>
      <c r="O112" s="4" t="s">
        <v>207</v>
      </c>
      <c r="P112" s="4" t="s">
        <v>885</v>
      </c>
      <c r="Q112" s="4" t="s">
        <v>886</v>
      </c>
    </row>
    <row r="113" spans="1:17" ht="120" customHeight="1">
      <c r="A113" s="4" t="s">
        <v>887</v>
      </c>
      <c r="B113" s="4" t="s">
        <v>888</v>
      </c>
      <c r="C113" s="4" t="s">
        <v>889</v>
      </c>
      <c r="D113" s="4" t="s">
        <v>890</v>
      </c>
      <c r="E113" s="4" t="s">
        <v>21</v>
      </c>
      <c r="F113" s="4" t="s">
        <v>22</v>
      </c>
      <c r="G113" s="4" t="s">
        <v>891</v>
      </c>
      <c r="H113" s="4" t="s">
        <v>892</v>
      </c>
      <c r="I113" s="4" t="s">
        <v>77</v>
      </c>
      <c r="J113" s="10">
        <v>115</v>
      </c>
      <c r="K113" s="10">
        <v>10</v>
      </c>
      <c r="L113" s="10">
        <v>11</v>
      </c>
      <c r="M113" s="10">
        <v>3</v>
      </c>
      <c r="N113" s="10"/>
      <c r="O113" s="4" t="s">
        <v>207</v>
      </c>
      <c r="P113" s="4" t="s">
        <v>893</v>
      </c>
      <c r="Q113" s="4" t="s">
        <v>894</v>
      </c>
    </row>
    <row r="114" spans="1:17" ht="120" customHeight="1">
      <c r="A114" s="4" t="s">
        <v>895</v>
      </c>
      <c r="B114" s="4" t="s">
        <v>896</v>
      </c>
      <c r="C114" s="4" t="s">
        <v>897</v>
      </c>
      <c r="D114" s="4" t="s">
        <v>898</v>
      </c>
      <c r="E114" s="4" t="s">
        <v>21</v>
      </c>
      <c r="F114" s="4" t="s">
        <v>155</v>
      </c>
      <c r="G114" s="4" t="s">
        <v>899</v>
      </c>
      <c r="H114" s="4" t="s">
        <v>900</v>
      </c>
      <c r="I114" s="4" t="s">
        <v>77</v>
      </c>
      <c r="J114" s="10">
        <v>225</v>
      </c>
      <c r="K114" s="10">
        <v>18</v>
      </c>
      <c r="L114" s="10">
        <v>37</v>
      </c>
      <c r="M114" s="10">
        <v>1</v>
      </c>
      <c r="N114" s="10">
        <v>2</v>
      </c>
      <c r="O114" s="4" t="s">
        <v>901</v>
      </c>
      <c r="P114" s="4" t="s">
        <v>902</v>
      </c>
      <c r="Q114" s="4" t="s">
        <v>903</v>
      </c>
    </row>
    <row r="115" spans="1:17" ht="120" customHeight="1">
      <c r="A115" s="4" t="s">
        <v>904</v>
      </c>
      <c r="B115" s="4" t="s">
        <v>905</v>
      </c>
      <c r="C115" s="4" t="s">
        <v>906</v>
      </c>
      <c r="D115" s="4" t="s">
        <v>907</v>
      </c>
      <c r="E115" s="4" t="s">
        <v>245</v>
      </c>
      <c r="F115" s="4" t="s">
        <v>155</v>
      </c>
      <c r="G115" s="4" t="s">
        <v>908</v>
      </c>
      <c r="H115" s="4" t="s">
        <v>909</v>
      </c>
      <c r="I115" s="4" t="s">
        <v>188</v>
      </c>
      <c r="J115" s="10">
        <v>10</v>
      </c>
      <c r="K115" s="10"/>
      <c r="L115" s="10"/>
      <c r="M115" s="10">
        <v>0</v>
      </c>
      <c r="N115" s="10"/>
      <c r="O115" s="4" t="s">
        <v>910</v>
      </c>
      <c r="P115" s="4" t="s">
        <v>911</v>
      </c>
      <c r="Q115" s="4" t="s">
        <v>912</v>
      </c>
    </row>
    <row r="116" spans="1:17" ht="120" customHeight="1">
      <c r="A116" s="4" t="s">
        <v>913</v>
      </c>
      <c r="B116" s="4" t="s">
        <v>914</v>
      </c>
      <c r="C116" s="4" t="s">
        <v>906</v>
      </c>
      <c r="D116" s="4" t="s">
        <v>907</v>
      </c>
      <c r="E116" s="4" t="s">
        <v>652</v>
      </c>
      <c r="F116" s="4" t="s">
        <v>155</v>
      </c>
      <c r="G116" s="4" t="s">
        <v>915</v>
      </c>
      <c r="H116" s="4" t="s">
        <v>916</v>
      </c>
      <c r="I116" s="4" t="s">
        <v>188</v>
      </c>
      <c r="J116" s="10">
        <v>15</v>
      </c>
      <c r="K116" s="10">
        <v>0</v>
      </c>
      <c r="L116" s="10"/>
      <c r="M116" s="10">
        <v>0</v>
      </c>
      <c r="N116" s="10"/>
      <c r="O116" s="4" t="s">
        <v>917</v>
      </c>
      <c r="P116" s="4" t="s">
        <v>918</v>
      </c>
      <c r="Q116" s="4" t="s">
        <v>919</v>
      </c>
    </row>
    <row r="117" spans="1:17" ht="120" customHeight="1">
      <c r="A117" s="4" t="s">
        <v>920</v>
      </c>
      <c r="B117" s="4" t="s">
        <v>921</v>
      </c>
      <c r="C117" s="4" t="s">
        <v>906</v>
      </c>
      <c r="D117" s="4" t="s">
        <v>922</v>
      </c>
      <c r="E117" s="4" t="s">
        <v>74</v>
      </c>
      <c r="F117" s="4" t="s">
        <v>155</v>
      </c>
      <c r="G117" s="4" t="s">
        <v>923</v>
      </c>
      <c r="H117" s="4" t="s">
        <v>924</v>
      </c>
      <c r="I117" s="4" t="s">
        <v>188</v>
      </c>
      <c r="J117" s="10">
        <v>25</v>
      </c>
      <c r="K117" s="10"/>
      <c r="L117" s="10"/>
      <c r="M117" s="10">
        <v>0</v>
      </c>
      <c r="N117" s="10"/>
      <c r="O117" s="4" t="s">
        <v>917</v>
      </c>
      <c r="P117" s="4" t="s">
        <v>925</v>
      </c>
      <c r="Q117" s="4" t="s">
        <v>926</v>
      </c>
    </row>
    <row r="118" spans="1:17" ht="120" customHeight="1">
      <c r="A118" s="4" t="s">
        <v>927</v>
      </c>
      <c r="B118" s="4" t="s">
        <v>928</v>
      </c>
      <c r="C118" s="4" t="s">
        <v>906</v>
      </c>
      <c r="D118" s="4" t="s">
        <v>907</v>
      </c>
      <c r="E118" s="4" t="s">
        <v>652</v>
      </c>
      <c r="F118" s="4" t="s">
        <v>155</v>
      </c>
      <c r="G118" s="4" t="s">
        <v>929</v>
      </c>
      <c r="H118" s="4" t="s">
        <v>930</v>
      </c>
      <c r="I118" s="4" t="s">
        <v>188</v>
      </c>
      <c r="J118" s="10">
        <v>10</v>
      </c>
      <c r="K118" s="10">
        <v>0</v>
      </c>
      <c r="L118" s="10"/>
      <c r="M118" s="10">
        <v>0</v>
      </c>
      <c r="N118" s="10"/>
      <c r="O118" s="4" t="s">
        <v>917</v>
      </c>
      <c r="P118" s="4" t="s">
        <v>931</v>
      </c>
      <c r="Q118" s="4" t="s">
        <v>932</v>
      </c>
    </row>
    <row r="119" spans="1:17" ht="120" customHeight="1">
      <c r="A119" s="4" t="s">
        <v>933</v>
      </c>
      <c r="B119" s="4" t="s">
        <v>934</v>
      </c>
      <c r="C119" s="4" t="s">
        <v>906</v>
      </c>
      <c r="D119" s="4" t="s">
        <v>922</v>
      </c>
      <c r="E119" s="4" t="s">
        <v>74</v>
      </c>
      <c r="F119" s="4" t="s">
        <v>155</v>
      </c>
      <c r="G119" s="4" t="s">
        <v>935</v>
      </c>
      <c r="H119" s="4" t="s">
        <v>936</v>
      </c>
      <c r="I119" s="4" t="s">
        <v>188</v>
      </c>
      <c r="J119" s="10">
        <v>15</v>
      </c>
      <c r="K119" s="10"/>
      <c r="L119" s="10"/>
      <c r="M119" s="10">
        <v>0</v>
      </c>
      <c r="N119" s="10"/>
      <c r="O119" s="4" t="s">
        <v>917</v>
      </c>
      <c r="P119" s="4" t="s">
        <v>937</v>
      </c>
      <c r="Q119" s="4" t="s">
        <v>938</v>
      </c>
    </row>
    <row r="120" spans="1:17" ht="120" customHeight="1">
      <c r="A120" s="4" t="s">
        <v>939</v>
      </c>
      <c r="B120" s="4" t="s">
        <v>940</v>
      </c>
      <c r="C120" s="4" t="s">
        <v>941</v>
      </c>
      <c r="D120" s="4" t="s">
        <v>942</v>
      </c>
      <c r="E120" s="4" t="s">
        <v>245</v>
      </c>
      <c r="F120" s="4" t="s">
        <v>155</v>
      </c>
      <c r="G120" s="4" t="s">
        <v>943</v>
      </c>
      <c r="H120" s="4" t="s">
        <v>944</v>
      </c>
      <c r="I120" s="4" t="s">
        <v>188</v>
      </c>
      <c r="J120" s="10">
        <v>5</v>
      </c>
      <c r="K120" s="10">
        <v>0</v>
      </c>
      <c r="L120" s="10"/>
      <c r="M120" s="10">
        <v>0</v>
      </c>
      <c r="N120" s="10"/>
      <c r="O120" s="4" t="s">
        <v>945</v>
      </c>
      <c r="P120" s="4" t="s">
        <v>946</v>
      </c>
      <c r="Q120" s="4" t="s">
        <v>947</v>
      </c>
    </row>
    <row r="121" spans="1:17" ht="120" customHeight="1">
      <c r="A121" s="4" t="s">
        <v>948</v>
      </c>
      <c r="B121" s="4" t="s">
        <v>949</v>
      </c>
      <c r="C121" s="4" t="s">
        <v>941</v>
      </c>
      <c r="D121" s="4" t="s">
        <v>942</v>
      </c>
      <c r="E121" s="4" t="s">
        <v>74</v>
      </c>
      <c r="F121" s="4" t="s">
        <v>155</v>
      </c>
      <c r="G121" s="4" t="s">
        <v>950</v>
      </c>
      <c r="H121" s="4" t="s">
        <v>951</v>
      </c>
      <c r="I121" s="4" t="s">
        <v>188</v>
      </c>
      <c r="J121" s="10">
        <v>10</v>
      </c>
      <c r="K121" s="10"/>
      <c r="L121" s="10"/>
      <c r="M121" s="10"/>
      <c r="N121" s="10"/>
      <c r="O121" s="4" t="s">
        <v>952</v>
      </c>
      <c r="P121" s="4" t="s">
        <v>953</v>
      </c>
      <c r="Q121" s="4" t="s">
        <v>954</v>
      </c>
    </row>
    <row r="122" spans="1:17" ht="120" customHeight="1">
      <c r="A122" s="4" t="s">
        <v>955</v>
      </c>
      <c r="B122" s="4" t="s">
        <v>956</v>
      </c>
      <c r="C122" s="4" t="s">
        <v>941</v>
      </c>
      <c r="D122" s="4" t="s">
        <v>942</v>
      </c>
      <c r="E122" s="4" t="s">
        <v>245</v>
      </c>
      <c r="F122" s="4" t="s">
        <v>155</v>
      </c>
      <c r="G122" s="4" t="s">
        <v>957</v>
      </c>
      <c r="H122" s="4" t="s">
        <v>958</v>
      </c>
      <c r="I122" s="4" t="s">
        <v>188</v>
      </c>
      <c r="J122" s="10">
        <v>10</v>
      </c>
      <c r="K122" s="10"/>
      <c r="L122" s="10"/>
      <c r="M122" s="10"/>
      <c r="N122" s="10"/>
      <c r="O122" s="4" t="s">
        <v>385</v>
      </c>
      <c r="P122" s="4" t="s">
        <v>959</v>
      </c>
      <c r="Q122" s="4" t="s">
        <v>960</v>
      </c>
    </row>
    <row r="123" spans="1:17" ht="120" customHeight="1">
      <c r="A123" s="4" t="s">
        <v>961</v>
      </c>
      <c r="B123" s="4" t="s">
        <v>962</v>
      </c>
      <c r="C123" s="4" t="s">
        <v>941</v>
      </c>
      <c r="D123" s="4" t="s">
        <v>963</v>
      </c>
      <c r="E123" s="4" t="s">
        <v>245</v>
      </c>
      <c r="F123" s="4" t="s">
        <v>155</v>
      </c>
      <c r="G123" s="4" t="s">
        <v>964</v>
      </c>
      <c r="H123" s="4" t="s">
        <v>965</v>
      </c>
      <c r="I123" s="4" t="s">
        <v>188</v>
      </c>
      <c r="J123" s="10">
        <v>15</v>
      </c>
      <c r="K123" s="10"/>
      <c r="L123" s="10"/>
      <c r="M123" s="10"/>
      <c r="N123" s="10"/>
      <c r="O123" s="4" t="s">
        <v>966</v>
      </c>
      <c r="P123" s="4" t="s">
        <v>967</v>
      </c>
      <c r="Q123" s="4" t="s">
        <v>968</v>
      </c>
    </row>
    <row r="124" spans="1:17" ht="120" customHeight="1">
      <c r="A124" s="4" t="s">
        <v>969</v>
      </c>
      <c r="B124" s="4" t="s">
        <v>970</v>
      </c>
      <c r="C124" s="4" t="s">
        <v>941</v>
      </c>
      <c r="D124" s="4" t="s">
        <v>963</v>
      </c>
      <c r="E124" s="4" t="s">
        <v>245</v>
      </c>
      <c r="F124" s="4" t="s">
        <v>155</v>
      </c>
      <c r="G124" s="4" t="s">
        <v>971</v>
      </c>
      <c r="H124" s="4" t="s">
        <v>972</v>
      </c>
      <c r="I124" s="4" t="s">
        <v>188</v>
      </c>
      <c r="J124" s="10">
        <v>10</v>
      </c>
      <c r="K124" s="10"/>
      <c r="L124" s="10"/>
      <c r="M124" s="10">
        <v>0</v>
      </c>
      <c r="N124" s="10"/>
      <c r="O124" s="4" t="s">
        <v>973</v>
      </c>
      <c r="P124" s="4" t="s">
        <v>974</v>
      </c>
      <c r="Q124" s="4" t="s">
        <v>975</v>
      </c>
    </row>
    <row r="125" spans="1:17" ht="120" customHeight="1">
      <c r="A125" s="4" t="s">
        <v>976</v>
      </c>
      <c r="B125" s="4" t="s">
        <v>977</v>
      </c>
      <c r="C125" s="4" t="s">
        <v>978</v>
      </c>
      <c r="D125" s="4" t="s">
        <v>979</v>
      </c>
      <c r="E125" s="4" t="s">
        <v>245</v>
      </c>
      <c r="F125" s="4" t="s">
        <v>155</v>
      </c>
      <c r="G125" s="4" t="s">
        <v>980</v>
      </c>
      <c r="H125" s="4" t="s">
        <v>981</v>
      </c>
      <c r="I125" s="4" t="s">
        <v>188</v>
      </c>
      <c r="J125" s="10">
        <v>10</v>
      </c>
      <c r="K125" s="10"/>
      <c r="L125" s="10"/>
      <c r="M125" s="10"/>
      <c r="N125" s="10"/>
      <c r="O125" s="4" t="s">
        <v>917</v>
      </c>
      <c r="P125" s="4" t="s">
        <v>982</v>
      </c>
      <c r="Q125" s="4" t="s">
        <v>983</v>
      </c>
    </row>
    <row r="126" spans="1:17" ht="120" customHeight="1">
      <c r="A126" s="4" t="s">
        <v>984</v>
      </c>
      <c r="B126" s="4" t="s">
        <v>985</v>
      </c>
      <c r="C126" s="4" t="s">
        <v>978</v>
      </c>
      <c r="D126" s="4" t="s">
        <v>986</v>
      </c>
      <c r="E126" s="4" t="s">
        <v>214</v>
      </c>
      <c r="F126" s="4" t="s">
        <v>155</v>
      </c>
      <c r="G126" s="4" t="s">
        <v>987</v>
      </c>
      <c r="H126" s="4" t="s">
        <v>988</v>
      </c>
      <c r="I126" s="4" t="s">
        <v>188</v>
      </c>
      <c r="J126" s="10">
        <v>15</v>
      </c>
      <c r="K126" s="10"/>
      <c r="L126" s="10"/>
      <c r="M126" s="10"/>
      <c r="N126" s="10"/>
      <c r="O126" s="4" t="s">
        <v>917</v>
      </c>
      <c r="P126" s="4" t="s">
        <v>989</v>
      </c>
      <c r="Q126" s="4" t="s">
        <v>990</v>
      </c>
    </row>
    <row r="127" spans="1:17" ht="120" customHeight="1">
      <c r="A127" s="4" t="s">
        <v>991</v>
      </c>
      <c r="B127" s="4" t="s">
        <v>992</v>
      </c>
      <c r="C127" s="4" t="s">
        <v>993</v>
      </c>
      <c r="D127" s="4" t="s">
        <v>979</v>
      </c>
      <c r="E127" s="4" t="s">
        <v>652</v>
      </c>
      <c r="F127" s="4" t="s">
        <v>155</v>
      </c>
      <c r="G127" s="4" t="s">
        <v>994</v>
      </c>
      <c r="H127" s="4" t="s">
        <v>995</v>
      </c>
      <c r="I127" s="4" t="s">
        <v>188</v>
      </c>
      <c r="J127" s="10">
        <v>15</v>
      </c>
      <c r="K127" s="10"/>
      <c r="L127" s="10"/>
      <c r="M127" s="10"/>
      <c r="N127" s="10"/>
      <c r="O127" s="4" t="s">
        <v>917</v>
      </c>
      <c r="P127" s="4" t="s">
        <v>996</v>
      </c>
      <c r="Q127" s="4" t="s">
        <v>997</v>
      </c>
    </row>
    <row r="128" spans="1:17" ht="120" customHeight="1">
      <c r="A128" s="4" t="s">
        <v>998</v>
      </c>
      <c r="B128" s="4" t="s">
        <v>999</v>
      </c>
      <c r="C128" s="4" t="s">
        <v>1000</v>
      </c>
      <c r="D128" s="4" t="s">
        <v>1001</v>
      </c>
      <c r="E128" s="4" t="s">
        <v>245</v>
      </c>
      <c r="F128" s="4" t="s">
        <v>155</v>
      </c>
      <c r="G128" s="4" t="s">
        <v>1002</v>
      </c>
      <c r="H128" s="4" t="s">
        <v>1003</v>
      </c>
      <c r="I128" s="4" t="s">
        <v>188</v>
      </c>
      <c r="J128" s="10">
        <v>15</v>
      </c>
      <c r="K128" s="10"/>
      <c r="L128" s="10"/>
      <c r="M128" s="10"/>
      <c r="N128" s="10"/>
      <c r="O128" s="4" t="s">
        <v>945</v>
      </c>
      <c r="P128" s="4" t="s">
        <v>1004</v>
      </c>
      <c r="Q128" s="4" t="s">
        <v>1005</v>
      </c>
    </row>
    <row r="129" spans="1:17" ht="120" customHeight="1">
      <c r="A129" s="4" t="s">
        <v>1006</v>
      </c>
      <c r="B129" s="4" t="s">
        <v>1007</v>
      </c>
      <c r="C129" s="4" t="s">
        <v>993</v>
      </c>
      <c r="D129" s="4" t="s">
        <v>979</v>
      </c>
      <c r="E129" s="4" t="s">
        <v>245</v>
      </c>
      <c r="F129" s="4" t="s">
        <v>155</v>
      </c>
      <c r="G129" s="4" t="s">
        <v>1008</v>
      </c>
      <c r="H129" s="4" t="s">
        <v>1009</v>
      </c>
      <c r="I129" s="4" t="s">
        <v>188</v>
      </c>
      <c r="J129" s="10">
        <v>10</v>
      </c>
      <c r="K129" s="10"/>
      <c r="L129" s="10"/>
      <c r="M129" s="10"/>
      <c r="N129" s="10"/>
      <c r="O129" s="4" t="s">
        <v>945</v>
      </c>
      <c r="P129" s="4" t="s">
        <v>1010</v>
      </c>
      <c r="Q129" s="4" t="s">
        <v>1011</v>
      </c>
    </row>
    <row r="130" spans="1:17" ht="120" customHeight="1">
      <c r="A130" s="4" t="s">
        <v>1012</v>
      </c>
      <c r="B130" s="4" t="s">
        <v>1013</v>
      </c>
      <c r="C130" s="4" t="s">
        <v>1014</v>
      </c>
      <c r="D130" s="4" t="s">
        <v>1015</v>
      </c>
      <c r="E130" s="4" t="s">
        <v>21</v>
      </c>
      <c r="F130" s="4" t="s">
        <v>22</v>
      </c>
      <c r="G130" s="4" t="s">
        <v>1016</v>
      </c>
      <c r="H130" s="4" t="s">
        <v>1017</v>
      </c>
      <c r="I130" s="4" t="s">
        <v>188</v>
      </c>
      <c r="J130" s="10">
        <v>270</v>
      </c>
      <c r="K130" s="10">
        <v>10</v>
      </c>
      <c r="L130" s="10">
        <v>48</v>
      </c>
      <c r="M130" s="10">
        <v>5</v>
      </c>
      <c r="N130" s="10">
        <v>6</v>
      </c>
      <c r="O130" s="4"/>
      <c r="P130" s="4"/>
      <c r="Q130" s="4" t="s">
        <v>1018</v>
      </c>
    </row>
    <row r="131" spans="1:17" ht="120" customHeight="1">
      <c r="A131" s="4" t="s">
        <v>1019</v>
      </c>
      <c r="B131" s="4" t="s">
        <v>1020</v>
      </c>
      <c r="C131" s="4" t="s">
        <v>1014</v>
      </c>
      <c r="D131" s="4" t="s">
        <v>1021</v>
      </c>
      <c r="E131" s="4" t="s">
        <v>21</v>
      </c>
      <c r="F131" s="4" t="s">
        <v>22</v>
      </c>
      <c r="G131" s="4" t="s">
        <v>1022</v>
      </c>
      <c r="H131" s="4" t="s">
        <v>1023</v>
      </c>
      <c r="I131" s="4" t="s">
        <v>188</v>
      </c>
      <c r="J131" s="10">
        <v>245</v>
      </c>
      <c r="K131" s="10">
        <v>13</v>
      </c>
      <c r="L131" s="10">
        <v>37</v>
      </c>
      <c r="M131" s="10">
        <v>6</v>
      </c>
      <c r="N131" s="10">
        <v>6</v>
      </c>
      <c r="O131" s="4"/>
      <c r="P131" s="4"/>
      <c r="Q131" s="4" t="s">
        <v>1024</v>
      </c>
    </row>
    <row r="132" spans="1:17" ht="120" customHeight="1">
      <c r="A132" s="4" t="s">
        <v>1025</v>
      </c>
      <c r="B132" s="4" t="s">
        <v>1026</v>
      </c>
      <c r="C132" s="4" t="s">
        <v>1014</v>
      </c>
      <c r="D132" s="4" t="s">
        <v>1015</v>
      </c>
      <c r="E132" s="4" t="s">
        <v>245</v>
      </c>
      <c r="F132" s="4" t="s">
        <v>22</v>
      </c>
      <c r="G132" s="4" t="s">
        <v>1027</v>
      </c>
      <c r="H132" s="4" t="s">
        <v>1028</v>
      </c>
      <c r="I132" s="4" t="s">
        <v>188</v>
      </c>
      <c r="J132" s="10">
        <v>260</v>
      </c>
      <c r="K132" s="10">
        <v>9</v>
      </c>
      <c r="L132" s="10">
        <v>46</v>
      </c>
      <c r="M132" s="10">
        <v>5</v>
      </c>
      <c r="N132" s="10">
        <v>6</v>
      </c>
      <c r="O132" s="4"/>
      <c r="P132" s="4"/>
      <c r="Q132" s="4" t="s">
        <v>1029</v>
      </c>
    </row>
    <row r="133" spans="1:17" ht="120" customHeight="1">
      <c r="A133" s="4" t="s">
        <v>1030</v>
      </c>
      <c r="B133" s="4" t="s">
        <v>1031</v>
      </c>
      <c r="C133" s="4" t="s">
        <v>1014</v>
      </c>
      <c r="D133" s="4" t="s">
        <v>1032</v>
      </c>
      <c r="E133" s="4" t="s">
        <v>21</v>
      </c>
      <c r="F133" s="4" t="s">
        <v>22</v>
      </c>
      <c r="G133" s="4" t="s">
        <v>1033</v>
      </c>
      <c r="H133" s="4" t="s">
        <v>1034</v>
      </c>
      <c r="I133" s="4" t="s">
        <v>188</v>
      </c>
      <c r="J133" s="10">
        <v>285</v>
      </c>
      <c r="K133" s="10">
        <v>9</v>
      </c>
      <c r="L133" s="10">
        <v>43</v>
      </c>
      <c r="M133" s="10">
        <v>9</v>
      </c>
      <c r="N133" s="10">
        <v>5</v>
      </c>
      <c r="O133" s="4"/>
      <c r="P133" s="4"/>
      <c r="Q133" s="4" t="s">
        <v>1035</v>
      </c>
    </row>
    <row r="134" spans="1:17" ht="120" customHeight="1">
      <c r="A134" s="4" t="s">
        <v>1036</v>
      </c>
      <c r="B134" s="4" t="s">
        <v>1037</v>
      </c>
      <c r="C134" s="4" t="s">
        <v>407</v>
      </c>
      <c r="D134" s="4" t="s">
        <v>1038</v>
      </c>
      <c r="E134" s="4" t="s">
        <v>21</v>
      </c>
      <c r="F134" s="4" t="s">
        <v>22</v>
      </c>
      <c r="G134" s="4" t="s">
        <v>1039</v>
      </c>
      <c r="H134" s="4" t="s">
        <v>1040</v>
      </c>
      <c r="I134" s="4" t="s">
        <v>188</v>
      </c>
      <c r="J134" s="10">
        <v>220</v>
      </c>
      <c r="K134" s="10">
        <v>12</v>
      </c>
      <c r="L134" s="10">
        <v>32</v>
      </c>
      <c r="M134" s="10">
        <v>5</v>
      </c>
      <c r="N134" s="10">
        <v>4</v>
      </c>
      <c r="O134" s="4"/>
      <c r="P134" s="4"/>
      <c r="Q134" s="4" t="s">
        <v>1041</v>
      </c>
    </row>
    <row r="135" spans="1:17" ht="120" customHeight="1">
      <c r="A135" s="4" t="s">
        <v>1042</v>
      </c>
      <c r="B135" s="4" t="s">
        <v>1043</v>
      </c>
      <c r="C135" s="4" t="s">
        <v>41</v>
      </c>
      <c r="D135" s="4" t="s">
        <v>1044</v>
      </c>
      <c r="E135" s="4" t="s">
        <v>74</v>
      </c>
      <c r="F135" s="4" t="s">
        <v>22</v>
      </c>
      <c r="G135" s="4" t="s">
        <v>1045</v>
      </c>
      <c r="H135" s="4" t="s">
        <v>1046</v>
      </c>
      <c r="I135" s="4" t="s">
        <v>77</v>
      </c>
      <c r="J135" s="10">
        <v>300</v>
      </c>
      <c r="K135" s="10">
        <v>23</v>
      </c>
      <c r="L135" s="10">
        <v>31</v>
      </c>
      <c r="M135" s="10">
        <v>9</v>
      </c>
      <c r="N135" s="10">
        <v>3</v>
      </c>
      <c r="O135" s="4"/>
      <c r="P135" s="4"/>
      <c r="Q135" s="4" t="s">
        <v>1047</v>
      </c>
    </row>
    <row r="136" spans="1:17" ht="120" customHeight="1">
      <c r="A136" s="4" t="s">
        <v>1048</v>
      </c>
      <c r="B136" s="4" t="s">
        <v>1049</v>
      </c>
      <c r="C136" s="4" t="s">
        <v>41</v>
      </c>
      <c r="D136" s="4" t="s">
        <v>697</v>
      </c>
      <c r="E136" s="4" t="s">
        <v>1050</v>
      </c>
      <c r="F136" s="4" t="s">
        <v>22</v>
      </c>
      <c r="G136" s="4" t="s">
        <v>1051</v>
      </c>
      <c r="H136" s="4" t="s">
        <v>1052</v>
      </c>
      <c r="I136" s="4" t="s">
        <v>77</v>
      </c>
      <c r="J136" s="10">
        <v>320</v>
      </c>
      <c r="K136" s="10">
        <v>25</v>
      </c>
      <c r="L136" s="10">
        <v>35</v>
      </c>
      <c r="M136" s="10">
        <v>10</v>
      </c>
      <c r="N136" s="10">
        <v>9</v>
      </c>
      <c r="O136" s="4"/>
      <c r="P136" s="4"/>
      <c r="Q136" s="4" t="s">
        <v>1053</v>
      </c>
    </row>
    <row r="137" spans="1:17" ht="120" customHeight="1">
      <c r="A137" s="4" t="s">
        <v>1054</v>
      </c>
      <c r="B137" s="4" t="s">
        <v>1055</v>
      </c>
      <c r="C137" s="4" t="s">
        <v>41</v>
      </c>
      <c r="D137" s="4" t="s">
        <v>1056</v>
      </c>
      <c r="E137" s="4" t="s">
        <v>74</v>
      </c>
      <c r="F137" s="4" t="s">
        <v>22</v>
      </c>
      <c r="G137" s="4" t="s">
        <v>1057</v>
      </c>
      <c r="H137" s="4" t="s">
        <v>1058</v>
      </c>
      <c r="I137" s="4" t="s">
        <v>77</v>
      </c>
      <c r="J137" s="10">
        <v>260</v>
      </c>
      <c r="K137" s="10">
        <v>22</v>
      </c>
      <c r="L137" s="10">
        <v>25</v>
      </c>
      <c r="M137" s="10">
        <v>9</v>
      </c>
      <c r="N137" s="10">
        <v>5</v>
      </c>
      <c r="O137" s="4"/>
      <c r="P137" s="4"/>
      <c r="Q137" s="4" t="s">
        <v>1059</v>
      </c>
    </row>
    <row r="138" spans="1:17" ht="120" customHeight="1">
      <c r="A138" s="4" t="s">
        <v>1060</v>
      </c>
      <c r="B138" s="4" t="s">
        <v>1061</v>
      </c>
      <c r="C138" s="4" t="s">
        <v>41</v>
      </c>
      <c r="D138" s="4" t="s">
        <v>1062</v>
      </c>
      <c r="E138" s="4" t="s">
        <v>74</v>
      </c>
      <c r="F138" s="4" t="s">
        <v>22</v>
      </c>
      <c r="G138" s="4" t="s">
        <v>1063</v>
      </c>
      <c r="H138" s="4" t="s">
        <v>1064</v>
      </c>
      <c r="I138" s="4" t="s">
        <v>77</v>
      </c>
      <c r="J138" s="10">
        <v>290</v>
      </c>
      <c r="K138" s="10">
        <v>23</v>
      </c>
      <c r="L138" s="10">
        <v>32</v>
      </c>
      <c r="M138" s="10">
        <v>8</v>
      </c>
      <c r="N138" s="10">
        <v>4</v>
      </c>
      <c r="O138" s="4"/>
      <c r="P138" s="4"/>
      <c r="Q138" s="4" t="s">
        <v>1065</v>
      </c>
    </row>
    <row r="139" spans="1:17" ht="120" customHeight="1">
      <c r="A139" s="4" t="s">
        <v>1066</v>
      </c>
      <c r="B139" s="4" t="s">
        <v>1067</v>
      </c>
      <c r="C139" s="4" t="s">
        <v>41</v>
      </c>
      <c r="D139" s="4" t="s">
        <v>1068</v>
      </c>
      <c r="E139" s="4" t="s">
        <v>74</v>
      </c>
      <c r="F139" s="4" t="s">
        <v>22</v>
      </c>
      <c r="G139" s="4" t="s">
        <v>1069</v>
      </c>
      <c r="H139" s="4" t="s">
        <v>1070</v>
      </c>
      <c r="I139" s="4" t="s">
        <v>77</v>
      </c>
      <c r="J139" s="10">
        <v>275</v>
      </c>
      <c r="K139" s="10">
        <v>27</v>
      </c>
      <c r="L139" s="10">
        <v>12</v>
      </c>
      <c r="M139" s="10">
        <v>14</v>
      </c>
      <c r="N139" s="10">
        <v>5</v>
      </c>
      <c r="O139" s="4"/>
      <c r="P139" s="4"/>
      <c r="Q139" s="4" t="s">
        <v>1071</v>
      </c>
    </row>
    <row r="140" spans="1:17" ht="120" customHeight="1">
      <c r="A140" s="4" t="s">
        <v>1072</v>
      </c>
      <c r="B140" s="4" t="s">
        <v>1073</v>
      </c>
      <c r="C140" s="4" t="s">
        <v>41</v>
      </c>
      <c r="D140" s="4" t="s">
        <v>1074</v>
      </c>
      <c r="E140" s="4" t="s">
        <v>74</v>
      </c>
      <c r="F140" s="4" t="s">
        <v>22</v>
      </c>
      <c r="G140" s="4" t="s">
        <v>1075</v>
      </c>
      <c r="H140" s="4" t="s">
        <v>1076</v>
      </c>
      <c r="I140" s="4" t="s">
        <v>77</v>
      </c>
      <c r="J140" s="10">
        <v>310</v>
      </c>
      <c r="K140" s="10">
        <v>25</v>
      </c>
      <c r="L140" s="10">
        <v>31</v>
      </c>
      <c r="M140" s="10">
        <v>10</v>
      </c>
      <c r="N140" s="10">
        <v>6</v>
      </c>
      <c r="O140" s="4"/>
      <c r="P140" s="4"/>
      <c r="Q140" s="4" t="s">
        <v>1077</v>
      </c>
    </row>
    <row r="141" spans="1:17" ht="120" customHeight="1">
      <c r="A141" s="4" t="s">
        <v>1078</v>
      </c>
      <c r="B141" s="4" t="s">
        <v>1079</v>
      </c>
      <c r="C141" s="4" t="s">
        <v>41</v>
      </c>
      <c r="D141" s="4" t="s">
        <v>1080</v>
      </c>
      <c r="E141" s="4" t="s">
        <v>74</v>
      </c>
      <c r="F141" s="4" t="s">
        <v>22</v>
      </c>
      <c r="G141" s="4" t="s">
        <v>1081</v>
      </c>
      <c r="H141" s="4" t="s">
        <v>1082</v>
      </c>
      <c r="I141" s="4" t="s">
        <v>77</v>
      </c>
      <c r="J141" s="10">
        <v>340</v>
      </c>
      <c r="K141" s="10">
        <v>24</v>
      </c>
      <c r="L141" s="10">
        <v>38</v>
      </c>
      <c r="M141" s="10">
        <v>11</v>
      </c>
      <c r="N141" s="10">
        <v>4</v>
      </c>
      <c r="O141" s="4"/>
      <c r="P141" s="4"/>
      <c r="Q141" s="4" t="s">
        <v>1083</v>
      </c>
    </row>
    <row r="142" spans="1:17" ht="120" customHeight="1">
      <c r="A142" s="4" t="s">
        <v>1084</v>
      </c>
      <c r="B142" s="4" t="s">
        <v>1085</v>
      </c>
      <c r="C142" s="4" t="s">
        <v>41</v>
      </c>
      <c r="D142" s="4" t="s">
        <v>1086</v>
      </c>
      <c r="E142" s="4" t="s">
        <v>74</v>
      </c>
      <c r="F142" s="4" t="s">
        <v>22</v>
      </c>
      <c r="G142" s="4" t="s">
        <v>1087</v>
      </c>
      <c r="H142" s="4" t="s">
        <v>1088</v>
      </c>
      <c r="I142" s="4" t="s">
        <v>77</v>
      </c>
      <c r="J142" s="10">
        <v>365</v>
      </c>
      <c r="K142" s="10">
        <v>30</v>
      </c>
      <c r="L142" s="10">
        <v>43</v>
      </c>
      <c r="M142" s="10">
        <v>8</v>
      </c>
      <c r="N142" s="10">
        <v>12</v>
      </c>
      <c r="O142" s="4"/>
      <c r="P142" s="4"/>
      <c r="Q142" s="4" t="s">
        <v>1089</v>
      </c>
    </row>
    <row r="143" spans="1:17" ht="120" customHeight="1">
      <c r="A143" s="4" t="s">
        <v>1090</v>
      </c>
      <c r="B143" s="4" t="s">
        <v>1091</v>
      </c>
      <c r="C143" s="4" t="s">
        <v>41</v>
      </c>
      <c r="D143" s="4" t="s">
        <v>1092</v>
      </c>
      <c r="E143" s="4" t="s">
        <v>74</v>
      </c>
      <c r="F143" s="4" t="s">
        <v>22</v>
      </c>
      <c r="G143" s="4" t="s">
        <v>1093</v>
      </c>
      <c r="H143" s="4" t="s">
        <v>1094</v>
      </c>
      <c r="I143" s="4" t="s">
        <v>77</v>
      </c>
      <c r="J143" s="10">
        <v>190</v>
      </c>
      <c r="K143" s="10">
        <v>10</v>
      </c>
      <c r="L143" s="10">
        <v>15</v>
      </c>
      <c r="M143" s="10">
        <v>10</v>
      </c>
      <c r="N143" s="10">
        <v>4</v>
      </c>
      <c r="O143" s="4"/>
      <c r="P143" s="4"/>
      <c r="Q143" s="4" t="s">
        <v>1095</v>
      </c>
    </row>
    <row r="144" spans="1:17" ht="120" customHeight="1">
      <c r="A144" s="4" t="s">
        <v>1096</v>
      </c>
      <c r="B144" s="4" t="s">
        <v>1097</v>
      </c>
      <c r="C144" s="4" t="s">
        <v>41</v>
      </c>
      <c r="D144" s="4" t="s">
        <v>1098</v>
      </c>
      <c r="E144" s="4" t="s">
        <v>74</v>
      </c>
      <c r="F144" s="4" t="s">
        <v>22</v>
      </c>
      <c r="G144" s="4" t="s">
        <v>1099</v>
      </c>
      <c r="H144" s="4" t="s">
        <v>1100</v>
      </c>
      <c r="I144" s="4" t="s">
        <v>77</v>
      </c>
      <c r="J144" s="10">
        <v>300</v>
      </c>
      <c r="K144" s="10">
        <v>23</v>
      </c>
      <c r="L144" s="10">
        <v>39</v>
      </c>
      <c r="M144" s="10">
        <v>7</v>
      </c>
      <c r="N144" s="10">
        <v>5</v>
      </c>
      <c r="O144" s="4"/>
      <c r="P144" s="4"/>
      <c r="Q144" s="4" t="s">
        <v>1101</v>
      </c>
    </row>
    <row r="145" spans="1:17" ht="120" customHeight="1">
      <c r="A145" s="4" t="s">
        <v>1102</v>
      </c>
      <c r="B145" s="4" t="s">
        <v>1103</v>
      </c>
      <c r="C145" s="4" t="s">
        <v>41</v>
      </c>
      <c r="D145" s="4" t="s">
        <v>1104</v>
      </c>
      <c r="E145" s="4" t="s">
        <v>21</v>
      </c>
      <c r="F145" s="4" t="s">
        <v>22</v>
      </c>
      <c r="G145" s="4" t="s">
        <v>1105</v>
      </c>
      <c r="H145" s="4" t="s">
        <v>1106</v>
      </c>
      <c r="I145" s="4" t="s">
        <v>188</v>
      </c>
      <c r="J145" s="10">
        <v>260</v>
      </c>
      <c r="K145" s="10">
        <v>46</v>
      </c>
      <c r="L145" s="10">
        <v>2</v>
      </c>
      <c r="M145" s="10">
        <v>8</v>
      </c>
      <c r="N145" s="10"/>
      <c r="O145" s="4"/>
      <c r="P145" s="4"/>
      <c r="Q145" s="4" t="s">
        <v>1107</v>
      </c>
    </row>
    <row r="146" spans="1:17" ht="120" customHeight="1">
      <c r="A146" s="4" t="s">
        <v>1108</v>
      </c>
      <c r="B146" s="4" t="s">
        <v>1109</v>
      </c>
      <c r="C146" s="4" t="s">
        <v>41</v>
      </c>
      <c r="D146" s="4" t="s">
        <v>1110</v>
      </c>
      <c r="E146" s="4" t="s">
        <v>21</v>
      </c>
      <c r="F146" s="4" t="s">
        <v>22</v>
      </c>
      <c r="G146" s="4" t="s">
        <v>1111</v>
      </c>
      <c r="H146" s="4" t="s">
        <v>1112</v>
      </c>
      <c r="I146" s="4" t="s">
        <v>188</v>
      </c>
      <c r="J146" s="10">
        <v>360</v>
      </c>
      <c r="K146" s="10">
        <v>39</v>
      </c>
      <c r="L146" s="10">
        <v>7</v>
      </c>
      <c r="M146" s="10">
        <v>20</v>
      </c>
      <c r="N146" s="10"/>
      <c r="O146" s="4"/>
      <c r="P146" s="4"/>
      <c r="Q146" s="4" t="s">
        <v>1113</v>
      </c>
    </row>
    <row r="147" spans="1:17" ht="120" customHeight="1">
      <c r="A147" s="4" t="s">
        <v>1114</v>
      </c>
      <c r="B147" s="4" t="s">
        <v>1115</v>
      </c>
      <c r="C147" s="4" t="s">
        <v>41</v>
      </c>
      <c r="D147" s="4" t="s">
        <v>1104</v>
      </c>
      <c r="E147" s="4" t="s">
        <v>245</v>
      </c>
      <c r="F147" s="4" t="s">
        <v>22</v>
      </c>
      <c r="G147" s="4" t="s">
        <v>1116</v>
      </c>
      <c r="H147" s="4" t="s">
        <v>1117</v>
      </c>
      <c r="I147" s="4" t="s">
        <v>188</v>
      </c>
      <c r="J147" s="10">
        <v>300</v>
      </c>
      <c r="K147" s="10">
        <v>49</v>
      </c>
      <c r="L147" s="10">
        <v>5</v>
      </c>
      <c r="M147" s="10">
        <v>9</v>
      </c>
      <c r="N147" s="10"/>
      <c r="O147" s="4"/>
      <c r="P147" s="4"/>
      <c r="Q147" s="4" t="s">
        <v>1118</v>
      </c>
    </row>
    <row r="148" spans="1:17" ht="120" customHeight="1">
      <c r="A148" s="4" t="s">
        <v>1119</v>
      </c>
      <c r="B148" s="4" t="s">
        <v>1120</v>
      </c>
      <c r="C148" s="4" t="s">
        <v>41</v>
      </c>
      <c r="D148" s="4" t="s">
        <v>1104</v>
      </c>
      <c r="E148" s="4" t="s">
        <v>21</v>
      </c>
      <c r="F148" s="4" t="s">
        <v>22</v>
      </c>
      <c r="G148" s="4" t="s">
        <v>1121</v>
      </c>
      <c r="H148" s="4" t="s">
        <v>1122</v>
      </c>
      <c r="I148" s="4" t="s">
        <v>188</v>
      </c>
      <c r="J148" s="10">
        <v>250</v>
      </c>
      <c r="K148" s="10">
        <v>39</v>
      </c>
      <c r="L148" s="10">
        <v>1</v>
      </c>
      <c r="M148" s="10">
        <v>10</v>
      </c>
      <c r="N148" s="10"/>
      <c r="O148" s="4"/>
      <c r="P148" s="4"/>
      <c r="Q148" s="4" t="s">
        <v>1123</v>
      </c>
    </row>
    <row r="149" spans="1:17" ht="120" customHeight="1">
      <c r="A149" s="4" t="s">
        <v>1124</v>
      </c>
      <c r="B149" s="4" t="s">
        <v>1125</v>
      </c>
      <c r="C149" s="4" t="s">
        <v>41</v>
      </c>
      <c r="D149" s="4" t="s">
        <v>1126</v>
      </c>
      <c r="E149" s="4" t="s">
        <v>74</v>
      </c>
      <c r="F149" s="4" t="s">
        <v>22</v>
      </c>
      <c r="G149" s="4" t="s">
        <v>1127</v>
      </c>
      <c r="H149" s="4" t="s">
        <v>1128</v>
      </c>
      <c r="I149" s="4" t="s">
        <v>188</v>
      </c>
      <c r="J149" s="10">
        <v>320</v>
      </c>
      <c r="K149" s="10">
        <v>43</v>
      </c>
      <c r="L149" s="10">
        <v>5</v>
      </c>
      <c r="M149" s="10">
        <v>13</v>
      </c>
      <c r="N149" s="10"/>
      <c r="O149" s="4"/>
      <c r="P149" s="4"/>
      <c r="Q149" s="4" t="s">
        <v>1129</v>
      </c>
    </row>
    <row r="150" spans="1:17" ht="120" customHeight="1">
      <c r="A150" s="4" t="s">
        <v>1130</v>
      </c>
      <c r="B150" s="4" t="s">
        <v>1131</v>
      </c>
      <c r="C150" s="4" t="s">
        <v>41</v>
      </c>
      <c r="D150" s="4" t="s">
        <v>1132</v>
      </c>
      <c r="E150" s="4" t="s">
        <v>74</v>
      </c>
      <c r="F150" s="4" t="s">
        <v>22</v>
      </c>
      <c r="G150" s="4" t="s">
        <v>1133</v>
      </c>
      <c r="H150" s="4" t="s">
        <v>1134</v>
      </c>
      <c r="I150" s="4" t="s">
        <v>87</v>
      </c>
      <c r="J150" s="10">
        <v>300</v>
      </c>
      <c r="K150" s="10">
        <v>36</v>
      </c>
      <c r="L150" s="10">
        <v>5</v>
      </c>
      <c r="M150" s="10">
        <v>15</v>
      </c>
      <c r="N150" s="10"/>
      <c r="O150" s="4"/>
      <c r="P150" s="4"/>
      <c r="Q150" s="4" t="s">
        <v>1135</v>
      </c>
    </row>
    <row r="151" spans="1:17" ht="120" customHeight="1">
      <c r="A151" s="4" t="s">
        <v>1136</v>
      </c>
      <c r="B151" s="4" t="s">
        <v>1137</v>
      </c>
      <c r="C151" s="4" t="s">
        <v>41</v>
      </c>
      <c r="D151" s="4" t="s">
        <v>1138</v>
      </c>
      <c r="E151" s="4" t="s">
        <v>214</v>
      </c>
      <c r="F151" s="4" t="s">
        <v>22</v>
      </c>
      <c r="G151" s="4" t="s">
        <v>1139</v>
      </c>
      <c r="H151" s="4" t="s">
        <v>1140</v>
      </c>
      <c r="I151" s="4" t="s">
        <v>188</v>
      </c>
      <c r="J151" s="10">
        <v>330</v>
      </c>
      <c r="K151" s="10">
        <v>41</v>
      </c>
      <c r="L151" s="10">
        <v>7</v>
      </c>
      <c r="M151" s="10">
        <v>15</v>
      </c>
      <c r="N151" s="10"/>
      <c r="O151" s="4"/>
      <c r="P151" s="4"/>
      <c r="Q151" s="4" t="s">
        <v>1141</v>
      </c>
    </row>
    <row r="152" spans="1:17" ht="120" customHeight="1">
      <c r="A152" s="4" t="s">
        <v>1142</v>
      </c>
      <c r="B152" s="4" t="s">
        <v>1143</v>
      </c>
      <c r="C152" s="4" t="s">
        <v>41</v>
      </c>
      <c r="D152" s="4" t="s">
        <v>1104</v>
      </c>
      <c r="E152" s="4" t="s">
        <v>214</v>
      </c>
      <c r="F152" s="4" t="s">
        <v>22</v>
      </c>
      <c r="G152" s="4" t="s">
        <v>1144</v>
      </c>
      <c r="H152" s="4" t="s">
        <v>1145</v>
      </c>
      <c r="I152" s="4" t="s">
        <v>188</v>
      </c>
      <c r="J152" s="10">
        <v>350</v>
      </c>
      <c r="K152" s="10">
        <v>39</v>
      </c>
      <c r="L152" s="10">
        <v>8</v>
      </c>
      <c r="M152" s="10">
        <v>18</v>
      </c>
      <c r="N152" s="10"/>
      <c r="O152" s="4"/>
      <c r="P152" s="4"/>
      <c r="Q152" s="4" t="s">
        <v>1146</v>
      </c>
    </row>
    <row r="153" spans="1:17" ht="120" customHeight="1">
      <c r="A153" s="4" t="s">
        <v>1147</v>
      </c>
      <c r="B153" s="4" t="s">
        <v>1148</v>
      </c>
      <c r="C153" s="4" t="s">
        <v>41</v>
      </c>
      <c r="D153" s="4" t="s">
        <v>1149</v>
      </c>
      <c r="E153" s="4" t="s">
        <v>214</v>
      </c>
      <c r="F153" s="4" t="s">
        <v>22</v>
      </c>
      <c r="G153" s="4" t="s">
        <v>1150</v>
      </c>
      <c r="H153" s="4" t="s">
        <v>1151</v>
      </c>
      <c r="I153" s="4" t="s">
        <v>188</v>
      </c>
      <c r="J153" s="10">
        <v>350</v>
      </c>
      <c r="K153" s="10">
        <v>40</v>
      </c>
      <c r="L153" s="10">
        <v>2</v>
      </c>
      <c r="M153" s="10">
        <v>20</v>
      </c>
      <c r="N153" s="10"/>
      <c r="O153" s="4"/>
      <c r="P153" s="4"/>
      <c r="Q153" s="4" t="s">
        <v>1152</v>
      </c>
    </row>
    <row r="154" spans="1:17" ht="120" customHeight="1">
      <c r="A154" s="5" t="s">
        <v>1153</v>
      </c>
      <c r="B154" s="5" t="s">
        <v>1154</v>
      </c>
      <c r="C154" s="5" t="s">
        <v>41</v>
      </c>
      <c r="D154" s="5" t="s">
        <v>1155</v>
      </c>
      <c r="E154" s="5" t="s">
        <v>21</v>
      </c>
      <c r="F154" s="5" t="s">
        <v>22</v>
      </c>
      <c r="G154" s="5" t="s">
        <v>1156</v>
      </c>
      <c r="H154" s="5" t="s">
        <v>1157</v>
      </c>
      <c r="I154" s="5" t="s">
        <v>188</v>
      </c>
      <c r="J154" s="11">
        <v>390</v>
      </c>
      <c r="K154" s="11">
        <v>32</v>
      </c>
      <c r="L154" s="11">
        <v>6</v>
      </c>
      <c r="M154" s="11">
        <v>26</v>
      </c>
      <c r="N154" s="11"/>
      <c r="O154" s="5"/>
      <c r="P154" s="5"/>
      <c r="Q154" s="5" t="s">
        <v>1158</v>
      </c>
    </row>
    <row r="155" spans="1:17" ht="120" customHeight="1">
      <c r="A155" t="s">
        <v>1212</v>
      </c>
      <c r="B155" t="s">
        <v>1213</v>
      </c>
      <c r="C155" t="s">
        <v>407</v>
      </c>
      <c r="D155" t="s">
        <v>1205</v>
      </c>
      <c r="E155" t="s">
        <v>21</v>
      </c>
      <c r="F155" t="s">
        <v>22</v>
      </c>
      <c r="G155" t="s">
        <v>1214</v>
      </c>
      <c r="H155" t="s">
        <v>1215</v>
      </c>
      <c r="I155" t="s">
        <v>188</v>
      </c>
      <c r="J155" s="12">
        <v>230</v>
      </c>
      <c r="K155" s="12">
        <v>24</v>
      </c>
      <c r="L155" s="12">
        <v>18</v>
      </c>
      <c r="M155" s="12">
        <v>7</v>
      </c>
      <c r="N155" s="12"/>
      <c r="O155" t="s">
        <v>1216</v>
      </c>
      <c r="P155" t="s">
        <v>1217</v>
      </c>
      <c r="Q155" t="s">
        <v>1218</v>
      </c>
    </row>
    <row r="156" spans="1:17" ht="120" customHeight="1">
      <c r="A156" t="s">
        <v>1219</v>
      </c>
      <c r="B156" t="s">
        <v>1220</v>
      </c>
      <c r="C156" t="s">
        <v>212</v>
      </c>
      <c r="D156" t="s">
        <v>1221</v>
      </c>
      <c r="E156" t="s">
        <v>278</v>
      </c>
      <c r="F156" t="s">
        <v>155</v>
      </c>
      <c r="G156" t="s">
        <v>1222</v>
      </c>
      <c r="H156" t="s">
        <v>1223</v>
      </c>
      <c r="I156" t="s">
        <v>188</v>
      </c>
      <c r="J156" s="12">
        <v>220</v>
      </c>
      <c r="K156" s="12">
        <v>20</v>
      </c>
      <c r="L156" s="12">
        <v>27</v>
      </c>
      <c r="M156" s="12">
        <v>5</v>
      </c>
      <c r="N156" s="12">
        <v>6</v>
      </c>
      <c r="O156" t="s">
        <v>1216</v>
      </c>
      <c r="P156" t="s">
        <v>1224</v>
      </c>
      <c r="Q156" t="s">
        <v>1225</v>
      </c>
    </row>
    <row r="157" spans="1:17" ht="120" customHeight="1">
      <c r="A157" t="s">
        <v>1226</v>
      </c>
      <c r="B157" t="s">
        <v>1227</v>
      </c>
      <c r="C157" t="s">
        <v>407</v>
      </c>
      <c r="D157" t="s">
        <v>1228</v>
      </c>
      <c r="E157" t="s">
        <v>245</v>
      </c>
      <c r="F157" t="s">
        <v>22</v>
      </c>
      <c r="G157" t="s">
        <v>1229</v>
      </c>
      <c r="H157" t="s">
        <v>1230</v>
      </c>
      <c r="I157" t="s">
        <v>188</v>
      </c>
      <c r="J157" s="12">
        <v>250</v>
      </c>
      <c r="K157" s="12">
        <v>19</v>
      </c>
      <c r="L157" s="12">
        <v>19</v>
      </c>
      <c r="M157" s="12">
        <v>11</v>
      </c>
      <c r="N157" s="12"/>
      <c r="O157" t="s">
        <v>1216</v>
      </c>
      <c r="P157" t="s">
        <v>1231</v>
      </c>
      <c r="Q157" t="s">
        <v>1232</v>
      </c>
    </row>
    <row r="158" spans="1:17" ht="120" customHeight="1">
      <c r="A158" t="s">
        <v>1233</v>
      </c>
      <c r="B158" t="s">
        <v>1234</v>
      </c>
      <c r="C158" t="s">
        <v>212</v>
      </c>
      <c r="D158" t="s">
        <v>1203</v>
      </c>
      <c r="E158" t="s">
        <v>21</v>
      </c>
      <c r="F158" t="s">
        <v>155</v>
      </c>
      <c r="G158" t="s">
        <v>1235</v>
      </c>
      <c r="H158" t="s">
        <v>1236</v>
      </c>
      <c r="I158" t="s">
        <v>188</v>
      </c>
      <c r="J158" s="12">
        <v>220</v>
      </c>
      <c r="K158" s="12">
        <v>14</v>
      </c>
      <c r="L158" s="12">
        <v>34</v>
      </c>
      <c r="M158" s="12">
        <v>4</v>
      </c>
      <c r="N158" s="12"/>
      <c r="O158" t="s">
        <v>1216</v>
      </c>
      <c r="P158" t="s">
        <v>1237</v>
      </c>
      <c r="Q158" t="s">
        <v>1238</v>
      </c>
    </row>
    <row r="159" spans="1:17" ht="120" customHeight="1">
      <c r="A159" t="s">
        <v>1239</v>
      </c>
      <c r="B159" t="s">
        <v>1240</v>
      </c>
      <c r="C159" t="s">
        <v>407</v>
      </c>
      <c r="D159" t="s">
        <v>1241</v>
      </c>
      <c r="E159" t="s">
        <v>74</v>
      </c>
      <c r="F159" t="s">
        <v>22</v>
      </c>
      <c r="G159" t="s">
        <v>1242</v>
      </c>
      <c r="H159" t="s">
        <v>1243</v>
      </c>
      <c r="I159" t="s">
        <v>188</v>
      </c>
      <c r="J159" s="12">
        <v>285</v>
      </c>
      <c r="K159" s="12">
        <v>18</v>
      </c>
      <c r="L159" s="12">
        <v>27</v>
      </c>
      <c r="M159" s="12">
        <v>12</v>
      </c>
      <c r="N159" s="12"/>
      <c r="O159" t="s">
        <v>1216</v>
      </c>
      <c r="P159" t="s">
        <v>1244</v>
      </c>
      <c r="Q159" t="s">
        <v>1245</v>
      </c>
    </row>
    <row r="160" spans="1:17" ht="120" customHeight="1">
      <c r="A160" t="s">
        <v>1246</v>
      </c>
      <c r="B160" t="s">
        <v>1247</v>
      </c>
      <c r="C160" t="s">
        <v>212</v>
      </c>
      <c r="D160" t="s">
        <v>1205</v>
      </c>
      <c r="E160" t="s">
        <v>278</v>
      </c>
      <c r="F160" t="s">
        <v>155</v>
      </c>
      <c r="G160" t="s">
        <v>1248</v>
      </c>
      <c r="H160" t="s">
        <v>1249</v>
      </c>
      <c r="I160" t="s">
        <v>188</v>
      </c>
      <c r="J160" s="12">
        <v>190</v>
      </c>
      <c r="K160" s="12">
        <v>23</v>
      </c>
      <c r="L160" s="12">
        <v>18</v>
      </c>
      <c r="M160" s="12">
        <v>3</v>
      </c>
      <c r="N160" s="12"/>
      <c r="O160" t="s">
        <v>1216</v>
      </c>
      <c r="P160" t="s">
        <v>1250</v>
      </c>
      <c r="Q160" t="s">
        <v>1251</v>
      </c>
    </row>
    <row r="161" spans="1:17" ht="120" customHeight="1">
      <c r="A161" t="s">
        <v>1252</v>
      </c>
      <c r="B161" t="s">
        <v>1253</v>
      </c>
      <c r="C161" t="s">
        <v>407</v>
      </c>
      <c r="D161" t="s">
        <v>1228</v>
      </c>
      <c r="E161" t="s">
        <v>245</v>
      </c>
      <c r="F161" t="s">
        <v>22</v>
      </c>
      <c r="G161" t="s">
        <v>1254</v>
      </c>
      <c r="H161" t="s">
        <v>1255</v>
      </c>
      <c r="I161" t="s">
        <v>188</v>
      </c>
      <c r="J161" s="12">
        <v>250</v>
      </c>
      <c r="K161" s="12">
        <v>17</v>
      </c>
      <c r="L161" s="12">
        <v>18</v>
      </c>
      <c r="M161" s="12">
        <v>12</v>
      </c>
      <c r="N161" s="12"/>
      <c r="O161" t="s">
        <v>1216</v>
      </c>
      <c r="P161" t="s">
        <v>1256</v>
      </c>
      <c r="Q161" t="s">
        <v>1257</v>
      </c>
    </row>
    <row r="162" spans="1:17" ht="120" customHeight="1">
      <c r="A162" t="s">
        <v>1258</v>
      </c>
      <c r="B162" t="s">
        <v>1259</v>
      </c>
      <c r="C162" t="s">
        <v>212</v>
      </c>
      <c r="D162" t="s">
        <v>1260</v>
      </c>
      <c r="E162" t="s">
        <v>21</v>
      </c>
      <c r="F162" t="s">
        <v>155</v>
      </c>
      <c r="G162" t="s">
        <v>1261</v>
      </c>
      <c r="H162" t="s">
        <v>1262</v>
      </c>
      <c r="I162" t="s">
        <v>188</v>
      </c>
      <c r="J162" s="12">
        <v>200</v>
      </c>
      <c r="K162" s="12">
        <v>13</v>
      </c>
      <c r="L162" s="12">
        <v>27</v>
      </c>
      <c r="M162" s="12">
        <v>5</v>
      </c>
      <c r="N162" s="12"/>
      <c r="O162" t="s">
        <v>1216</v>
      </c>
      <c r="P162" t="s">
        <v>1263</v>
      </c>
      <c r="Q162" t="s">
        <v>1264</v>
      </c>
    </row>
    <row r="163" spans="1:17" ht="120" customHeight="1">
      <c r="A163" t="s">
        <v>1265</v>
      </c>
      <c r="B163" t="s">
        <v>1266</v>
      </c>
      <c r="C163" t="s">
        <v>407</v>
      </c>
      <c r="D163" t="s">
        <v>1228</v>
      </c>
      <c r="E163" t="s">
        <v>214</v>
      </c>
      <c r="F163" t="s">
        <v>22</v>
      </c>
      <c r="G163" t="s">
        <v>1267</v>
      </c>
      <c r="H163" t="s">
        <v>1268</v>
      </c>
      <c r="I163" t="s">
        <v>188</v>
      </c>
      <c r="J163" s="12">
        <v>235</v>
      </c>
      <c r="K163" s="12">
        <v>15</v>
      </c>
      <c r="L163" s="12">
        <v>18</v>
      </c>
      <c r="M163" s="12">
        <v>12</v>
      </c>
      <c r="N163" s="12"/>
      <c r="O163" t="s">
        <v>1216</v>
      </c>
      <c r="P163" t="s">
        <v>1269</v>
      </c>
      <c r="Q163" t="s">
        <v>1270</v>
      </c>
    </row>
    <row r="164" spans="1:17" ht="120" customHeight="1">
      <c r="A164" t="s">
        <v>1271</v>
      </c>
      <c r="B164" t="s">
        <v>1272</v>
      </c>
      <c r="C164" t="s">
        <v>407</v>
      </c>
      <c r="D164" t="s">
        <v>1228</v>
      </c>
      <c r="E164" t="s">
        <v>245</v>
      </c>
      <c r="F164" t="s">
        <v>22</v>
      </c>
      <c r="G164" t="s">
        <v>1273</v>
      </c>
      <c r="H164" t="s">
        <v>1274</v>
      </c>
      <c r="I164" t="s">
        <v>188</v>
      </c>
      <c r="J164" s="12">
        <v>245</v>
      </c>
      <c r="K164" s="12">
        <v>24</v>
      </c>
      <c r="L164" s="12">
        <v>31</v>
      </c>
      <c r="M164" s="12">
        <v>4</v>
      </c>
      <c r="N164" s="12"/>
      <c r="O164" t="s">
        <v>1216</v>
      </c>
      <c r="P164" t="s">
        <v>1275</v>
      </c>
      <c r="Q164" t="s">
        <v>1276</v>
      </c>
    </row>
    <row r="165" spans="1:17" ht="120" customHeight="1">
      <c r="A165" t="s">
        <v>1277</v>
      </c>
      <c r="B165" t="s">
        <v>1278</v>
      </c>
      <c r="C165" t="s">
        <v>1170</v>
      </c>
      <c r="D165" t="s">
        <v>1279</v>
      </c>
      <c r="E165" t="s">
        <v>74</v>
      </c>
      <c r="F165" t="s">
        <v>22</v>
      </c>
      <c r="G165" t="s">
        <v>1280</v>
      </c>
      <c r="H165" t="s">
        <v>1281</v>
      </c>
      <c r="I165" t="s">
        <v>188</v>
      </c>
      <c r="J165" s="12">
        <v>390</v>
      </c>
      <c r="K165" s="12">
        <v>39</v>
      </c>
      <c r="L165" s="12">
        <v>31</v>
      </c>
      <c r="M165" s="12">
        <v>12</v>
      </c>
      <c r="N165" s="12"/>
      <c r="O165" t="s">
        <v>1216</v>
      </c>
      <c r="P165" t="s">
        <v>1282</v>
      </c>
      <c r="Q165" t="s">
        <v>1283</v>
      </c>
    </row>
    <row r="166" spans="1:17" ht="120" customHeight="1">
      <c r="A166" t="s">
        <v>1284</v>
      </c>
      <c r="B166" t="s">
        <v>1285</v>
      </c>
      <c r="C166" t="s">
        <v>1170</v>
      </c>
      <c r="D166" t="s">
        <v>1205</v>
      </c>
      <c r="E166" t="s">
        <v>214</v>
      </c>
      <c r="F166" t="s">
        <v>22</v>
      </c>
      <c r="G166" t="s">
        <v>1286</v>
      </c>
      <c r="H166" t="s">
        <v>1287</v>
      </c>
      <c r="I166" t="s">
        <v>188</v>
      </c>
      <c r="J166" s="12">
        <v>410</v>
      </c>
      <c r="K166" s="12">
        <v>31</v>
      </c>
      <c r="L166" s="12">
        <v>45</v>
      </c>
      <c r="M166" s="12">
        <v>12</v>
      </c>
      <c r="N166" s="12"/>
      <c r="O166" t="s">
        <v>1216</v>
      </c>
      <c r="P166" t="s">
        <v>1275</v>
      </c>
      <c r="Q166" t="s">
        <v>1288</v>
      </c>
    </row>
    <row r="167" spans="1:17" ht="120" customHeight="1">
      <c r="A167" t="s">
        <v>1289</v>
      </c>
      <c r="B167" t="s">
        <v>1290</v>
      </c>
      <c r="C167" t="s">
        <v>1170</v>
      </c>
      <c r="D167" t="s">
        <v>1279</v>
      </c>
      <c r="E167" t="s">
        <v>74</v>
      </c>
      <c r="F167" t="s">
        <v>22</v>
      </c>
      <c r="G167" t="s">
        <v>1291</v>
      </c>
      <c r="H167" t="s">
        <v>1292</v>
      </c>
      <c r="I167" t="s">
        <v>188</v>
      </c>
      <c r="J167" s="12">
        <v>330</v>
      </c>
      <c r="K167" s="12">
        <v>35</v>
      </c>
      <c r="L167" s="12">
        <v>25</v>
      </c>
      <c r="M167" s="12">
        <v>10</v>
      </c>
      <c r="N167" s="12"/>
      <c r="O167" t="s">
        <v>1216</v>
      </c>
      <c r="P167" t="s">
        <v>1275</v>
      </c>
      <c r="Q167" t="s">
        <v>1293</v>
      </c>
    </row>
    <row r="168" spans="1:17" ht="120" customHeight="1">
      <c r="A168" t="s">
        <v>1294</v>
      </c>
      <c r="B168" t="s">
        <v>1295</v>
      </c>
      <c r="C168" t="s">
        <v>1170</v>
      </c>
      <c r="D168" t="s">
        <v>1205</v>
      </c>
      <c r="E168" t="s">
        <v>652</v>
      </c>
      <c r="F168" t="s">
        <v>22</v>
      </c>
      <c r="G168" t="s">
        <v>1296</v>
      </c>
      <c r="H168" t="s">
        <v>1297</v>
      </c>
      <c r="I168" t="s">
        <v>1298</v>
      </c>
      <c r="J168" s="12">
        <v>390</v>
      </c>
      <c r="K168" s="12">
        <v>34</v>
      </c>
      <c r="L168" s="12">
        <v>27</v>
      </c>
      <c r="M168" s="12">
        <v>17</v>
      </c>
      <c r="N168" s="12"/>
      <c r="O168" t="s">
        <v>1216</v>
      </c>
      <c r="P168" t="s">
        <v>1299</v>
      </c>
      <c r="Q168" t="s">
        <v>1300</v>
      </c>
    </row>
    <row r="169" spans="1:17" ht="120" customHeight="1">
      <c r="A169" t="s">
        <v>1301</v>
      </c>
      <c r="B169" t="s">
        <v>1302</v>
      </c>
      <c r="C169" t="s">
        <v>1170</v>
      </c>
      <c r="D169" t="s">
        <v>1303</v>
      </c>
      <c r="E169" t="s">
        <v>74</v>
      </c>
      <c r="F169" t="s">
        <v>22</v>
      </c>
      <c r="G169" t="s">
        <v>1304</v>
      </c>
      <c r="H169" t="s">
        <v>1305</v>
      </c>
      <c r="I169" t="s">
        <v>188</v>
      </c>
      <c r="J169" s="12">
        <v>375</v>
      </c>
      <c r="K169" s="12">
        <v>39</v>
      </c>
      <c r="L169" s="12">
        <v>34</v>
      </c>
      <c r="M169" s="12">
        <v>10</v>
      </c>
      <c r="N169" s="12"/>
      <c r="O169" t="s">
        <v>1216</v>
      </c>
      <c r="P169" t="s">
        <v>1275</v>
      </c>
      <c r="Q169" t="s">
        <v>1306</v>
      </c>
    </row>
    <row r="170" spans="1:17" ht="120" customHeight="1">
      <c r="A170" t="s">
        <v>1307</v>
      </c>
      <c r="B170" t="s">
        <v>1308</v>
      </c>
      <c r="C170" t="s">
        <v>1170</v>
      </c>
      <c r="D170" t="s">
        <v>1279</v>
      </c>
      <c r="E170" t="s">
        <v>74</v>
      </c>
      <c r="F170" t="s">
        <v>22</v>
      </c>
      <c r="G170" t="s">
        <v>1309</v>
      </c>
      <c r="H170" t="s">
        <v>1310</v>
      </c>
      <c r="I170" t="s">
        <v>188</v>
      </c>
      <c r="J170" s="12">
        <v>350</v>
      </c>
      <c r="K170" s="12">
        <v>34</v>
      </c>
      <c r="L170" s="12">
        <v>34</v>
      </c>
      <c r="M170" s="12">
        <v>9</v>
      </c>
      <c r="N170" s="12"/>
      <c r="O170" t="s">
        <v>1216</v>
      </c>
      <c r="P170" t="s">
        <v>1275</v>
      </c>
      <c r="Q170" t="s">
        <v>1311</v>
      </c>
    </row>
    <row r="171" spans="1:17" ht="120" customHeight="1">
      <c r="A171" t="s">
        <v>1312</v>
      </c>
      <c r="B171" t="s">
        <v>1313</v>
      </c>
      <c r="C171" t="s">
        <v>1170</v>
      </c>
      <c r="D171" t="s">
        <v>1314</v>
      </c>
      <c r="E171" t="s">
        <v>214</v>
      </c>
      <c r="F171" t="s">
        <v>22</v>
      </c>
      <c r="G171" t="s">
        <v>1315</v>
      </c>
      <c r="H171" t="s">
        <v>1316</v>
      </c>
      <c r="I171" t="s">
        <v>188</v>
      </c>
      <c r="J171" s="12">
        <v>385</v>
      </c>
      <c r="K171" s="12">
        <v>38</v>
      </c>
      <c r="L171" s="12">
        <v>38</v>
      </c>
      <c r="M171" s="12">
        <v>9</v>
      </c>
      <c r="N171" s="12"/>
      <c r="O171" t="s">
        <v>1216</v>
      </c>
      <c r="P171" t="s">
        <v>1275</v>
      </c>
      <c r="Q171" t="s">
        <v>1317</v>
      </c>
    </row>
    <row r="172" spans="1:17" ht="120" customHeight="1">
      <c r="A172" t="s">
        <v>1318</v>
      </c>
      <c r="B172" t="s">
        <v>1319</v>
      </c>
      <c r="C172" t="s">
        <v>1170</v>
      </c>
      <c r="D172" t="s">
        <v>1279</v>
      </c>
      <c r="E172" t="s">
        <v>74</v>
      </c>
      <c r="F172" t="s">
        <v>22</v>
      </c>
      <c r="G172" t="s">
        <v>1320</v>
      </c>
      <c r="H172" t="s">
        <v>1321</v>
      </c>
      <c r="I172" t="s">
        <v>188</v>
      </c>
      <c r="J172" s="12">
        <v>390</v>
      </c>
      <c r="K172" s="12">
        <v>35</v>
      </c>
      <c r="L172" s="12">
        <v>25</v>
      </c>
      <c r="M172" s="12">
        <v>17</v>
      </c>
      <c r="N172" s="12"/>
      <c r="O172" t="s">
        <v>1216</v>
      </c>
      <c r="P172" t="s">
        <v>1275</v>
      </c>
      <c r="Q172" t="s">
        <v>1322</v>
      </c>
    </row>
    <row r="173" spans="1:17" ht="120" customHeight="1">
      <c r="A173" t="s">
        <v>1323</v>
      </c>
      <c r="B173" t="s">
        <v>1324</v>
      </c>
      <c r="C173" t="s">
        <v>1170</v>
      </c>
      <c r="D173" t="s">
        <v>1279</v>
      </c>
      <c r="E173" t="s">
        <v>74</v>
      </c>
      <c r="F173" t="s">
        <v>22</v>
      </c>
      <c r="G173" t="s">
        <v>1325</v>
      </c>
      <c r="H173" t="s">
        <v>1326</v>
      </c>
      <c r="I173" t="s">
        <v>188</v>
      </c>
      <c r="J173" s="12">
        <v>375</v>
      </c>
      <c r="K173" s="12">
        <v>36</v>
      </c>
      <c r="L173" s="12">
        <v>30</v>
      </c>
      <c r="M173" s="12">
        <v>13</v>
      </c>
      <c r="N173" s="12"/>
      <c r="O173" t="s">
        <v>1216</v>
      </c>
      <c r="P173" t="s">
        <v>1275</v>
      </c>
      <c r="Q173" t="s">
        <v>1327</v>
      </c>
    </row>
    <row r="174" spans="1:17" ht="120" customHeight="1">
      <c r="A174" t="s">
        <v>1328</v>
      </c>
      <c r="B174" t="s">
        <v>1329</v>
      </c>
      <c r="C174" t="s">
        <v>1170</v>
      </c>
      <c r="D174" t="s">
        <v>1279</v>
      </c>
      <c r="E174" t="s">
        <v>74</v>
      </c>
      <c r="F174" t="s">
        <v>22</v>
      </c>
      <c r="G174" t="s">
        <v>1330</v>
      </c>
      <c r="H174" t="s">
        <v>1331</v>
      </c>
      <c r="I174" t="s">
        <v>188</v>
      </c>
      <c r="J174" s="12">
        <v>395</v>
      </c>
      <c r="K174" s="12">
        <v>33</v>
      </c>
      <c r="L174" s="12">
        <v>33</v>
      </c>
      <c r="M174" s="12">
        <v>15</v>
      </c>
      <c r="N174" s="12"/>
      <c r="O174" t="s">
        <v>1216</v>
      </c>
      <c r="P174" t="s">
        <v>1275</v>
      </c>
      <c r="Q174" t="s">
        <v>1332</v>
      </c>
    </row>
    <row r="175" spans="1:17" ht="120" customHeight="1">
      <c r="A175" t="s">
        <v>1333</v>
      </c>
      <c r="B175" t="s">
        <v>1334</v>
      </c>
      <c r="C175" t="s">
        <v>1168</v>
      </c>
      <c r="D175" t="s">
        <v>1335</v>
      </c>
      <c r="E175" t="s">
        <v>214</v>
      </c>
      <c r="F175" t="s">
        <v>22</v>
      </c>
      <c r="G175" t="s">
        <v>1336</v>
      </c>
      <c r="H175" t="s">
        <v>1337</v>
      </c>
      <c r="I175" t="s">
        <v>178</v>
      </c>
      <c r="J175" s="12">
        <v>330</v>
      </c>
      <c r="K175" s="12">
        <v>12</v>
      </c>
      <c r="L175" s="12">
        <v>49</v>
      </c>
      <c r="M175" s="12">
        <v>10</v>
      </c>
      <c r="N175" s="12">
        <v>10</v>
      </c>
      <c r="O175" t="s">
        <v>1216</v>
      </c>
      <c r="P175" t="s">
        <v>1338</v>
      </c>
      <c r="Q175" t="s">
        <v>1339</v>
      </c>
    </row>
    <row r="176" spans="1:17" ht="120" customHeight="1">
      <c r="A176" t="s">
        <v>1340</v>
      </c>
      <c r="B176" t="s">
        <v>1341</v>
      </c>
      <c r="C176" t="s">
        <v>520</v>
      </c>
      <c r="D176" t="s">
        <v>1335</v>
      </c>
      <c r="E176" t="s">
        <v>74</v>
      </c>
      <c r="F176" t="s">
        <v>22</v>
      </c>
      <c r="G176" t="s">
        <v>1342</v>
      </c>
      <c r="H176" t="s">
        <v>1343</v>
      </c>
      <c r="I176" t="s">
        <v>1344</v>
      </c>
      <c r="J176" s="12">
        <v>285</v>
      </c>
      <c r="K176" s="12">
        <v>7</v>
      </c>
      <c r="L176" s="12">
        <v>48</v>
      </c>
      <c r="M176" s="12">
        <v>8</v>
      </c>
      <c r="N176" s="12">
        <v>6</v>
      </c>
      <c r="O176" t="s">
        <v>1216</v>
      </c>
      <c r="P176" t="s">
        <v>1275</v>
      </c>
      <c r="Q176" t="s">
        <v>1345</v>
      </c>
    </row>
    <row r="177" spans="1:17" ht="120" customHeight="1">
      <c r="A177" t="s">
        <v>1346</v>
      </c>
      <c r="B177" t="s">
        <v>1347</v>
      </c>
      <c r="C177" t="s">
        <v>897</v>
      </c>
      <c r="D177" t="s">
        <v>1348</v>
      </c>
      <c r="E177" t="s">
        <v>21</v>
      </c>
      <c r="F177" t="s">
        <v>22</v>
      </c>
      <c r="G177" t="s">
        <v>1349</v>
      </c>
      <c r="H177" t="s">
        <v>1350</v>
      </c>
      <c r="I177" t="s">
        <v>188</v>
      </c>
      <c r="J177" s="12">
        <v>280</v>
      </c>
      <c r="K177" s="12">
        <v>7</v>
      </c>
      <c r="L177" s="12">
        <v>43</v>
      </c>
      <c r="M177" s="12">
        <v>10</v>
      </c>
      <c r="N177" s="12">
        <v>7</v>
      </c>
      <c r="O177" t="s">
        <v>1216</v>
      </c>
      <c r="P177" t="s">
        <v>1275</v>
      </c>
      <c r="Q177" t="s">
        <v>1351</v>
      </c>
    </row>
    <row r="178" spans="1:17" ht="120" customHeight="1">
      <c r="A178" t="s">
        <v>1352</v>
      </c>
      <c r="B178" t="s">
        <v>1353</v>
      </c>
      <c r="C178" t="s">
        <v>520</v>
      </c>
      <c r="D178" t="s">
        <v>1204</v>
      </c>
      <c r="E178" t="s">
        <v>245</v>
      </c>
      <c r="F178" t="s">
        <v>22</v>
      </c>
      <c r="G178" t="s">
        <v>1354</v>
      </c>
      <c r="H178" t="s">
        <v>1355</v>
      </c>
      <c r="I178" t="s">
        <v>1356</v>
      </c>
      <c r="J178" s="12">
        <v>250</v>
      </c>
      <c r="K178" s="12">
        <v>7</v>
      </c>
      <c r="L178" s="12">
        <v>39</v>
      </c>
      <c r="M178" s="12">
        <v>8</v>
      </c>
      <c r="N178" s="12">
        <v>5</v>
      </c>
      <c r="O178" t="s">
        <v>1216</v>
      </c>
      <c r="P178" t="s">
        <v>1275</v>
      </c>
      <c r="Q178" t="s">
        <v>1357</v>
      </c>
    </row>
    <row r="179" spans="1:17" ht="120" customHeight="1">
      <c r="A179" t="s">
        <v>1358</v>
      </c>
      <c r="B179" t="s">
        <v>1359</v>
      </c>
      <c r="C179" t="s">
        <v>573</v>
      </c>
      <c r="D179" t="s">
        <v>1204</v>
      </c>
      <c r="E179" t="s">
        <v>74</v>
      </c>
      <c r="F179" t="s">
        <v>22</v>
      </c>
      <c r="G179" t="s">
        <v>1360</v>
      </c>
      <c r="H179" t="s">
        <v>1361</v>
      </c>
      <c r="I179" t="s">
        <v>1362</v>
      </c>
      <c r="J179" s="12">
        <v>300</v>
      </c>
      <c r="K179" s="12">
        <v>6</v>
      </c>
      <c r="L179" s="12">
        <v>42</v>
      </c>
      <c r="M179" s="12">
        <v>12</v>
      </c>
      <c r="N179" s="12">
        <v>5</v>
      </c>
      <c r="O179" t="s">
        <v>1216</v>
      </c>
      <c r="P179" t="s">
        <v>1363</v>
      </c>
      <c r="Q179" t="s">
        <v>1364</v>
      </c>
    </row>
    <row r="180" spans="1:17" ht="120" customHeight="1">
      <c r="A180" t="s">
        <v>1365</v>
      </c>
      <c r="B180" t="s">
        <v>1366</v>
      </c>
      <c r="C180" t="s">
        <v>897</v>
      </c>
      <c r="D180" t="s">
        <v>1367</v>
      </c>
      <c r="E180" t="s">
        <v>21</v>
      </c>
      <c r="F180" t="s">
        <v>22</v>
      </c>
      <c r="G180" t="s">
        <v>1368</v>
      </c>
      <c r="H180" t="s">
        <v>1369</v>
      </c>
      <c r="I180" t="s">
        <v>188</v>
      </c>
      <c r="J180" s="12">
        <v>180</v>
      </c>
      <c r="K180" s="12">
        <v>3</v>
      </c>
      <c r="L180" s="12">
        <v>29</v>
      </c>
      <c r="M180" s="12">
        <v>7</v>
      </c>
      <c r="N180" s="12">
        <v>5</v>
      </c>
      <c r="O180" t="s">
        <v>1216</v>
      </c>
      <c r="P180" t="s">
        <v>1275</v>
      </c>
      <c r="Q180" t="s">
        <v>1370</v>
      </c>
    </row>
    <row r="181" spans="1:17" ht="120" customHeight="1">
      <c r="A181" t="s">
        <v>1371</v>
      </c>
      <c r="B181" t="s">
        <v>1372</v>
      </c>
      <c r="C181" t="s">
        <v>1168</v>
      </c>
      <c r="D181" t="s">
        <v>1335</v>
      </c>
      <c r="E181" t="s">
        <v>21</v>
      </c>
      <c r="F181" t="s">
        <v>22</v>
      </c>
      <c r="G181" t="s">
        <v>1373</v>
      </c>
      <c r="H181" t="s">
        <v>1374</v>
      </c>
      <c r="I181" t="s">
        <v>188</v>
      </c>
      <c r="J181" s="12">
        <v>285</v>
      </c>
      <c r="K181" s="12">
        <v>7</v>
      </c>
      <c r="L181" s="12">
        <v>39</v>
      </c>
      <c r="M181" s="12">
        <v>12</v>
      </c>
      <c r="N181" s="12">
        <v>7</v>
      </c>
      <c r="O181" t="s">
        <v>1216</v>
      </c>
      <c r="P181" t="s">
        <v>1275</v>
      </c>
      <c r="Q181" t="s">
        <v>1375</v>
      </c>
    </row>
    <row r="182" spans="1:17" ht="120" customHeight="1">
      <c r="A182" t="s">
        <v>1376</v>
      </c>
      <c r="B182" t="s">
        <v>1377</v>
      </c>
      <c r="C182" t="s">
        <v>1168</v>
      </c>
      <c r="D182" t="s">
        <v>1335</v>
      </c>
      <c r="E182" t="s">
        <v>245</v>
      </c>
      <c r="F182" t="s">
        <v>22</v>
      </c>
      <c r="G182" t="s">
        <v>1378</v>
      </c>
      <c r="H182" t="s">
        <v>1379</v>
      </c>
      <c r="I182" t="s">
        <v>1380</v>
      </c>
      <c r="J182" s="12">
        <v>245</v>
      </c>
      <c r="K182" s="12">
        <v>5</v>
      </c>
      <c r="L182" s="12">
        <v>43</v>
      </c>
      <c r="M182" s="12">
        <v>7</v>
      </c>
      <c r="N182" s="12">
        <v>7</v>
      </c>
      <c r="O182" t="s">
        <v>1216</v>
      </c>
      <c r="P182" t="s">
        <v>1275</v>
      </c>
      <c r="Q182" t="s">
        <v>1381</v>
      </c>
    </row>
    <row r="183" spans="1:17" ht="120" customHeight="1">
      <c r="A183" t="s">
        <v>1382</v>
      </c>
      <c r="B183" t="s">
        <v>1383</v>
      </c>
      <c r="C183" t="s">
        <v>520</v>
      </c>
      <c r="D183" t="s">
        <v>1367</v>
      </c>
      <c r="E183" t="s">
        <v>21</v>
      </c>
      <c r="F183" t="s">
        <v>22</v>
      </c>
      <c r="G183" t="s">
        <v>1384</v>
      </c>
      <c r="H183" t="s">
        <v>1385</v>
      </c>
      <c r="I183" t="s">
        <v>188</v>
      </c>
      <c r="J183" s="12">
        <v>190</v>
      </c>
      <c r="K183" s="12">
        <v>5</v>
      </c>
      <c r="L183" s="12">
        <v>30</v>
      </c>
      <c r="M183" s="12">
        <v>6</v>
      </c>
      <c r="N183" s="12">
        <v>5</v>
      </c>
      <c r="O183" t="s">
        <v>1216</v>
      </c>
      <c r="P183" t="s">
        <v>1275</v>
      </c>
      <c r="Q183" t="s">
        <v>1386</v>
      </c>
    </row>
    <row r="184" spans="1:17" ht="120" customHeight="1">
      <c r="A184" t="s">
        <v>1387</v>
      </c>
      <c r="B184" t="s">
        <v>1388</v>
      </c>
      <c r="C184" t="s">
        <v>897</v>
      </c>
      <c r="D184" t="s">
        <v>1335</v>
      </c>
      <c r="E184" t="s">
        <v>21</v>
      </c>
      <c r="F184" t="s">
        <v>22</v>
      </c>
      <c r="G184" t="s">
        <v>1389</v>
      </c>
      <c r="H184" t="s">
        <v>1390</v>
      </c>
      <c r="I184" t="s">
        <v>188</v>
      </c>
      <c r="J184" s="12">
        <v>240</v>
      </c>
      <c r="K184" s="12">
        <v>6</v>
      </c>
      <c r="L184" s="12">
        <v>38</v>
      </c>
      <c r="M184" s="12">
        <v>8</v>
      </c>
      <c r="N184" s="12">
        <v>7</v>
      </c>
      <c r="O184" t="s">
        <v>1216</v>
      </c>
      <c r="P184" t="s">
        <v>1275</v>
      </c>
      <c r="Q184" t="s">
        <v>1391</v>
      </c>
    </row>
    <row r="185" spans="1:17" ht="120" customHeight="1">
      <c r="A185" t="s">
        <v>1392</v>
      </c>
      <c r="B185" t="s">
        <v>1393</v>
      </c>
      <c r="C185" t="s">
        <v>212</v>
      </c>
      <c r="D185" t="s">
        <v>1205</v>
      </c>
      <c r="E185" t="s">
        <v>214</v>
      </c>
      <c r="F185" t="s">
        <v>22</v>
      </c>
      <c r="G185" t="s">
        <v>1394</v>
      </c>
      <c r="H185" t="s">
        <v>1395</v>
      </c>
      <c r="I185" t="s">
        <v>188</v>
      </c>
      <c r="J185" s="12">
        <v>390</v>
      </c>
      <c r="K185" s="12">
        <v>35</v>
      </c>
      <c r="L185" s="12">
        <v>32</v>
      </c>
      <c r="M185" s="12">
        <v>14</v>
      </c>
      <c r="N185" s="12">
        <v>2</v>
      </c>
      <c r="O185" t="s">
        <v>1216</v>
      </c>
      <c r="P185" t="s">
        <v>1396</v>
      </c>
      <c r="Q185" t="s">
        <v>1397</v>
      </c>
    </row>
    <row r="186" spans="1:17" ht="120" customHeight="1">
      <c r="A186" t="s">
        <v>1398</v>
      </c>
      <c r="B186" t="s">
        <v>1399</v>
      </c>
      <c r="C186" t="s">
        <v>212</v>
      </c>
      <c r="D186" t="s">
        <v>1205</v>
      </c>
      <c r="E186" t="s">
        <v>21</v>
      </c>
      <c r="F186" t="s">
        <v>22</v>
      </c>
      <c r="G186" t="s">
        <v>1400</v>
      </c>
      <c r="H186" t="s">
        <v>1401</v>
      </c>
      <c r="I186" t="s">
        <v>188</v>
      </c>
      <c r="J186" s="12">
        <v>320</v>
      </c>
      <c r="K186" s="12">
        <v>34</v>
      </c>
      <c r="L186" s="12">
        <v>18</v>
      </c>
      <c r="M186" s="12">
        <v>13</v>
      </c>
      <c r="N186" s="12">
        <v>3</v>
      </c>
      <c r="O186" t="s">
        <v>1216</v>
      </c>
      <c r="P186" t="s">
        <v>1275</v>
      </c>
      <c r="Q186" t="s">
        <v>1402</v>
      </c>
    </row>
    <row r="187" spans="1:17" ht="120" customHeight="1">
      <c r="A187" t="s">
        <v>1403</v>
      </c>
      <c r="B187" t="s">
        <v>1404</v>
      </c>
      <c r="C187" t="s">
        <v>407</v>
      </c>
      <c r="D187" t="s">
        <v>1314</v>
      </c>
      <c r="E187" t="s">
        <v>214</v>
      </c>
      <c r="F187" t="s">
        <v>22</v>
      </c>
      <c r="G187" t="s">
        <v>1405</v>
      </c>
      <c r="H187" t="s">
        <v>1406</v>
      </c>
      <c r="I187" t="s">
        <v>188</v>
      </c>
      <c r="J187" s="12">
        <v>350</v>
      </c>
      <c r="K187" s="12">
        <v>27</v>
      </c>
      <c r="L187" s="12">
        <v>29</v>
      </c>
      <c r="M187" s="12">
        <v>14</v>
      </c>
      <c r="N187" s="12">
        <v>3</v>
      </c>
      <c r="O187" t="s">
        <v>1216</v>
      </c>
      <c r="P187" t="s">
        <v>1275</v>
      </c>
      <c r="Q187" t="s">
        <v>1407</v>
      </c>
    </row>
    <row r="188" spans="1:17" ht="120" customHeight="1">
      <c r="A188" t="s">
        <v>1408</v>
      </c>
      <c r="B188" t="s">
        <v>1409</v>
      </c>
      <c r="C188" t="s">
        <v>407</v>
      </c>
      <c r="D188" t="s">
        <v>1228</v>
      </c>
      <c r="E188" t="s">
        <v>245</v>
      </c>
      <c r="F188" t="s">
        <v>22</v>
      </c>
      <c r="G188" t="s">
        <v>1410</v>
      </c>
      <c r="H188" t="s">
        <v>1411</v>
      </c>
      <c r="I188" t="s">
        <v>188</v>
      </c>
      <c r="J188" s="12">
        <v>330</v>
      </c>
      <c r="K188" s="12">
        <v>25</v>
      </c>
      <c r="L188" s="12">
        <v>20</v>
      </c>
      <c r="M188" s="12">
        <v>17</v>
      </c>
      <c r="N188" s="12">
        <v>3</v>
      </c>
      <c r="O188" t="s">
        <v>1216</v>
      </c>
      <c r="P188" t="s">
        <v>1275</v>
      </c>
      <c r="Q188" t="s">
        <v>1412</v>
      </c>
    </row>
    <row r="189" spans="1:17" ht="120" customHeight="1">
      <c r="A189" t="s">
        <v>1413</v>
      </c>
      <c r="B189" t="s">
        <v>1414</v>
      </c>
      <c r="C189" t="s">
        <v>212</v>
      </c>
      <c r="D189" t="s">
        <v>1279</v>
      </c>
      <c r="E189" t="s">
        <v>214</v>
      </c>
      <c r="F189" t="s">
        <v>22</v>
      </c>
      <c r="G189" t="s">
        <v>1415</v>
      </c>
      <c r="H189" t="s">
        <v>1416</v>
      </c>
      <c r="I189" t="s">
        <v>188</v>
      </c>
      <c r="J189" s="12">
        <v>350</v>
      </c>
      <c r="K189" s="12">
        <v>29</v>
      </c>
      <c r="L189" s="12">
        <v>28</v>
      </c>
      <c r="M189" s="12">
        <v>14</v>
      </c>
      <c r="N189" s="12">
        <v>1</v>
      </c>
      <c r="O189" t="s">
        <v>1216</v>
      </c>
      <c r="P189" t="s">
        <v>1275</v>
      </c>
      <c r="Q189" t="s">
        <v>1417</v>
      </c>
    </row>
    <row r="190" spans="1:17" ht="120" customHeight="1">
      <c r="A190" t="s">
        <v>1418</v>
      </c>
      <c r="B190" t="s">
        <v>1419</v>
      </c>
      <c r="C190" t="s">
        <v>212</v>
      </c>
      <c r="D190" t="s">
        <v>1279</v>
      </c>
      <c r="E190" t="s">
        <v>245</v>
      </c>
      <c r="F190" t="s">
        <v>22</v>
      </c>
      <c r="G190" t="s">
        <v>1420</v>
      </c>
      <c r="H190" t="s">
        <v>1421</v>
      </c>
      <c r="I190" t="s">
        <v>1422</v>
      </c>
      <c r="J190" s="12">
        <v>340</v>
      </c>
      <c r="K190" s="12">
        <v>36</v>
      </c>
      <c r="L190" s="12">
        <v>10</v>
      </c>
      <c r="M190" s="12">
        <v>18</v>
      </c>
      <c r="N190" s="12">
        <v>2</v>
      </c>
      <c r="O190" t="s">
        <v>1216</v>
      </c>
      <c r="P190" t="s">
        <v>1423</v>
      </c>
      <c r="Q190" t="s">
        <v>1424</v>
      </c>
    </row>
    <row r="191" spans="1:17" ht="120" customHeight="1">
      <c r="A191" t="s">
        <v>1425</v>
      </c>
      <c r="B191" t="s">
        <v>1426</v>
      </c>
      <c r="C191" t="s">
        <v>407</v>
      </c>
      <c r="D191" t="s">
        <v>1228</v>
      </c>
      <c r="E191" t="s">
        <v>214</v>
      </c>
      <c r="F191" t="s">
        <v>22</v>
      </c>
      <c r="G191" t="s">
        <v>1427</v>
      </c>
      <c r="H191" t="s">
        <v>1428</v>
      </c>
      <c r="I191" t="s">
        <v>188</v>
      </c>
      <c r="J191" s="12">
        <v>350</v>
      </c>
      <c r="K191" s="12">
        <v>28</v>
      </c>
      <c r="L191" s="12">
        <v>20</v>
      </c>
      <c r="M191" s="12">
        <v>19</v>
      </c>
      <c r="N191" s="12">
        <v>3</v>
      </c>
      <c r="O191" t="s">
        <v>1216</v>
      </c>
      <c r="P191" t="s">
        <v>1429</v>
      </c>
      <c r="Q191" t="s">
        <v>1430</v>
      </c>
    </row>
    <row r="192" spans="1:17" ht="120" customHeight="1">
      <c r="A192" t="s">
        <v>1431</v>
      </c>
      <c r="B192" t="s">
        <v>1432</v>
      </c>
      <c r="C192" t="s">
        <v>212</v>
      </c>
      <c r="D192" t="s">
        <v>1205</v>
      </c>
      <c r="E192" t="s">
        <v>214</v>
      </c>
      <c r="F192" t="s">
        <v>22</v>
      </c>
      <c r="G192" t="s">
        <v>1433</v>
      </c>
      <c r="H192" t="s">
        <v>1434</v>
      </c>
      <c r="I192" t="s">
        <v>188</v>
      </c>
      <c r="J192" s="12">
        <v>390</v>
      </c>
      <c r="K192" s="12">
        <v>38</v>
      </c>
      <c r="L192" s="12">
        <v>37</v>
      </c>
      <c r="M192" s="12">
        <v>11</v>
      </c>
      <c r="N192" s="12">
        <v>3</v>
      </c>
      <c r="O192" t="s">
        <v>1216</v>
      </c>
      <c r="P192" t="s">
        <v>1275</v>
      </c>
      <c r="Q192" t="s">
        <v>1435</v>
      </c>
    </row>
    <row r="193" spans="1:17" ht="120" customHeight="1">
      <c r="A193" t="s">
        <v>1436</v>
      </c>
      <c r="B193" t="s">
        <v>1437</v>
      </c>
      <c r="C193" t="s">
        <v>407</v>
      </c>
      <c r="D193" t="s">
        <v>1241</v>
      </c>
      <c r="E193" t="s">
        <v>214</v>
      </c>
      <c r="F193" t="s">
        <v>22</v>
      </c>
      <c r="G193" t="s">
        <v>1438</v>
      </c>
      <c r="H193" t="s">
        <v>1439</v>
      </c>
      <c r="I193" t="s">
        <v>188</v>
      </c>
      <c r="J193" s="12">
        <v>390</v>
      </c>
      <c r="K193" s="12">
        <v>27</v>
      </c>
      <c r="L193" s="12">
        <v>7</v>
      </c>
      <c r="M193" s="12">
        <v>28</v>
      </c>
      <c r="N193" s="12">
        <v>2</v>
      </c>
      <c r="O193" t="s">
        <v>1216</v>
      </c>
      <c r="P193" t="s">
        <v>1275</v>
      </c>
      <c r="Q193" t="s">
        <v>1440</v>
      </c>
    </row>
    <row r="194" spans="1:17" ht="120" customHeight="1">
      <c r="A194" t="s">
        <v>1441</v>
      </c>
      <c r="B194" t="s">
        <v>1442</v>
      </c>
      <c r="C194" t="s">
        <v>212</v>
      </c>
      <c r="D194" t="s">
        <v>1205</v>
      </c>
      <c r="E194" t="s">
        <v>245</v>
      </c>
      <c r="F194" t="s">
        <v>22</v>
      </c>
      <c r="G194" t="s">
        <v>1443</v>
      </c>
      <c r="H194" t="s">
        <v>1444</v>
      </c>
      <c r="I194" t="s">
        <v>188</v>
      </c>
      <c r="J194" s="12">
        <v>360</v>
      </c>
      <c r="K194" s="12">
        <v>35</v>
      </c>
      <c r="L194" s="12">
        <v>30</v>
      </c>
      <c r="M194" s="12">
        <v>12</v>
      </c>
      <c r="N194" s="12">
        <v>4</v>
      </c>
      <c r="O194" t="s">
        <v>1216</v>
      </c>
      <c r="P194" t="s">
        <v>1275</v>
      </c>
      <c r="Q194" t="s">
        <v>1445</v>
      </c>
    </row>
    <row r="195" spans="1:17" ht="120" customHeight="1">
      <c r="A195" t="s">
        <v>1446</v>
      </c>
      <c r="B195" t="s">
        <v>1447</v>
      </c>
      <c r="C195" t="s">
        <v>1166</v>
      </c>
      <c r="D195" t="s">
        <v>1314</v>
      </c>
      <c r="E195" t="s">
        <v>74</v>
      </c>
      <c r="F195" t="s">
        <v>22</v>
      </c>
      <c r="G195" t="s">
        <v>1448</v>
      </c>
      <c r="H195" t="s">
        <v>1449</v>
      </c>
      <c r="I195" t="s">
        <v>188</v>
      </c>
      <c r="J195" s="12">
        <v>420</v>
      </c>
      <c r="K195" s="12">
        <v>43</v>
      </c>
      <c r="L195" s="12">
        <v>40</v>
      </c>
      <c r="M195" s="12">
        <v>10</v>
      </c>
      <c r="N195" s="12">
        <v>3</v>
      </c>
      <c r="O195" t="s">
        <v>1216</v>
      </c>
      <c r="P195" t="s">
        <v>1275</v>
      </c>
      <c r="Q195" t="s">
        <v>1450</v>
      </c>
    </row>
    <row r="196" spans="1:17" ht="120" customHeight="1">
      <c r="A196" t="s">
        <v>1451</v>
      </c>
      <c r="B196" t="s">
        <v>1452</v>
      </c>
      <c r="C196" t="s">
        <v>1166</v>
      </c>
      <c r="D196" t="s">
        <v>1314</v>
      </c>
      <c r="E196" t="s">
        <v>74</v>
      </c>
      <c r="F196" t="s">
        <v>22</v>
      </c>
      <c r="G196" t="s">
        <v>1453</v>
      </c>
      <c r="H196" t="s">
        <v>1454</v>
      </c>
      <c r="I196" t="s">
        <v>188</v>
      </c>
      <c r="J196" s="12">
        <v>450</v>
      </c>
      <c r="K196" s="12">
        <v>41</v>
      </c>
      <c r="L196" s="12">
        <v>31</v>
      </c>
      <c r="M196" s="12">
        <v>19</v>
      </c>
      <c r="N196" s="12">
        <v>5</v>
      </c>
      <c r="O196" t="s">
        <v>1216</v>
      </c>
      <c r="P196" t="s">
        <v>1275</v>
      </c>
      <c r="Q196" t="s">
        <v>1455</v>
      </c>
    </row>
    <row r="197" spans="1:17" ht="120" customHeight="1">
      <c r="A197" t="s">
        <v>1456</v>
      </c>
      <c r="B197" t="s">
        <v>1457</v>
      </c>
      <c r="C197" t="s">
        <v>1166</v>
      </c>
      <c r="D197" t="s">
        <v>1314</v>
      </c>
      <c r="E197" t="s">
        <v>74</v>
      </c>
      <c r="F197" t="s">
        <v>22</v>
      </c>
      <c r="G197" t="s">
        <v>1458</v>
      </c>
      <c r="H197" t="s">
        <v>1459</v>
      </c>
      <c r="I197" t="s">
        <v>188</v>
      </c>
      <c r="J197" s="12">
        <v>345</v>
      </c>
      <c r="K197" s="12">
        <v>37</v>
      </c>
      <c r="L197" s="12">
        <v>27</v>
      </c>
      <c r="M197" s="12">
        <v>10</v>
      </c>
      <c r="N197" s="12">
        <v>4</v>
      </c>
      <c r="O197" t="s">
        <v>1216</v>
      </c>
      <c r="P197" t="s">
        <v>1275</v>
      </c>
      <c r="Q197" t="s">
        <v>1460</v>
      </c>
    </row>
    <row r="198" spans="1:17" ht="120" customHeight="1">
      <c r="A198" t="s">
        <v>1461</v>
      </c>
      <c r="B198" t="s">
        <v>1462</v>
      </c>
      <c r="C198" t="s">
        <v>1166</v>
      </c>
      <c r="D198" t="s">
        <v>1279</v>
      </c>
      <c r="E198" t="s">
        <v>74</v>
      </c>
      <c r="F198" t="s">
        <v>22</v>
      </c>
      <c r="G198" t="s">
        <v>1463</v>
      </c>
      <c r="H198" t="s">
        <v>1464</v>
      </c>
      <c r="I198" t="s">
        <v>188</v>
      </c>
      <c r="J198" s="12">
        <v>430</v>
      </c>
      <c r="K198" s="12">
        <v>53</v>
      </c>
      <c r="L198" s="12">
        <v>9</v>
      </c>
      <c r="M198" s="12">
        <v>20</v>
      </c>
      <c r="N198" s="12">
        <v>3</v>
      </c>
      <c r="O198" t="s">
        <v>1216</v>
      </c>
      <c r="P198" t="s">
        <v>1275</v>
      </c>
      <c r="Q198" t="s">
        <v>1465</v>
      </c>
    </row>
    <row r="199" spans="1:17" ht="120" customHeight="1">
      <c r="A199" t="s">
        <v>1466</v>
      </c>
      <c r="B199" t="s">
        <v>1467</v>
      </c>
      <c r="C199" t="s">
        <v>1166</v>
      </c>
      <c r="D199" t="s">
        <v>1279</v>
      </c>
      <c r="E199" t="s">
        <v>652</v>
      </c>
      <c r="F199" t="s">
        <v>22</v>
      </c>
      <c r="G199" t="s">
        <v>1468</v>
      </c>
      <c r="H199" t="s">
        <v>1469</v>
      </c>
      <c r="I199" t="s">
        <v>188</v>
      </c>
      <c r="J199" s="12">
        <v>440</v>
      </c>
      <c r="K199" s="12">
        <v>41</v>
      </c>
      <c r="L199" s="12">
        <v>29</v>
      </c>
      <c r="M199" s="12">
        <v>19</v>
      </c>
      <c r="N199" s="12">
        <v>6</v>
      </c>
      <c r="O199" t="s">
        <v>1216</v>
      </c>
      <c r="P199" t="s">
        <v>1275</v>
      </c>
      <c r="Q199" t="s">
        <v>1470</v>
      </c>
    </row>
    <row r="200" spans="1:17" ht="120" customHeight="1">
      <c r="A200" t="s">
        <v>1471</v>
      </c>
      <c r="B200" t="s">
        <v>1472</v>
      </c>
      <c r="C200" t="s">
        <v>1166</v>
      </c>
      <c r="D200" t="s">
        <v>1279</v>
      </c>
      <c r="E200" t="s">
        <v>74</v>
      </c>
      <c r="F200" t="s">
        <v>22</v>
      </c>
      <c r="G200" t="s">
        <v>1473</v>
      </c>
      <c r="H200" t="s">
        <v>1474</v>
      </c>
      <c r="I200" t="s">
        <v>188</v>
      </c>
      <c r="J200" s="12">
        <v>455</v>
      </c>
      <c r="K200" s="12">
        <v>38</v>
      </c>
      <c r="L200" s="12">
        <v>45</v>
      </c>
      <c r="M200" s="12">
        <v>14</v>
      </c>
      <c r="N200" s="12">
        <v>4</v>
      </c>
      <c r="O200" t="s">
        <v>1216</v>
      </c>
      <c r="P200" t="s">
        <v>1275</v>
      </c>
      <c r="Q200" t="s">
        <v>1475</v>
      </c>
    </row>
    <row r="201" spans="1:17" ht="120" customHeight="1">
      <c r="A201" t="s">
        <v>1476</v>
      </c>
      <c r="B201" t="s">
        <v>1477</v>
      </c>
      <c r="C201" t="s">
        <v>1166</v>
      </c>
      <c r="D201" t="s">
        <v>1314</v>
      </c>
      <c r="E201" t="s">
        <v>63</v>
      </c>
      <c r="F201" t="s">
        <v>22</v>
      </c>
      <c r="G201" t="s">
        <v>1478</v>
      </c>
      <c r="H201" t="s">
        <v>1479</v>
      </c>
      <c r="I201" t="s">
        <v>188</v>
      </c>
      <c r="J201" s="12">
        <v>390</v>
      </c>
      <c r="K201" s="12">
        <v>43</v>
      </c>
      <c r="L201" s="12">
        <v>13</v>
      </c>
      <c r="M201" s="12">
        <v>18</v>
      </c>
      <c r="N201" s="12">
        <v>4</v>
      </c>
      <c r="O201" t="s">
        <v>1216</v>
      </c>
      <c r="P201" t="s">
        <v>1275</v>
      </c>
      <c r="Q201" t="s">
        <v>1480</v>
      </c>
    </row>
    <row r="202" spans="1:17" ht="120" customHeight="1">
      <c r="A202" t="s">
        <v>1481</v>
      </c>
      <c r="B202" t="s">
        <v>1482</v>
      </c>
      <c r="C202" t="s">
        <v>1166</v>
      </c>
      <c r="D202" t="s">
        <v>1483</v>
      </c>
      <c r="E202" t="s">
        <v>74</v>
      </c>
      <c r="F202" t="s">
        <v>22</v>
      </c>
      <c r="G202" t="s">
        <v>1484</v>
      </c>
      <c r="H202" t="s">
        <v>1485</v>
      </c>
      <c r="I202" t="s">
        <v>188</v>
      </c>
      <c r="J202" s="12">
        <v>410</v>
      </c>
      <c r="K202" s="12">
        <v>43</v>
      </c>
      <c r="L202" s="12">
        <v>38</v>
      </c>
      <c r="M202" s="12">
        <v>10</v>
      </c>
      <c r="N202" s="12">
        <v>7</v>
      </c>
      <c r="O202" t="s">
        <v>1216</v>
      </c>
      <c r="P202" t="s">
        <v>1275</v>
      </c>
      <c r="Q202" t="s">
        <v>1486</v>
      </c>
    </row>
    <row r="203" spans="1:17" ht="120" customHeight="1">
      <c r="A203" t="s">
        <v>1487</v>
      </c>
      <c r="B203" t="s">
        <v>1488</v>
      </c>
      <c r="C203" t="s">
        <v>1166</v>
      </c>
      <c r="D203" t="s">
        <v>1483</v>
      </c>
      <c r="E203" t="s">
        <v>74</v>
      </c>
      <c r="F203" t="s">
        <v>22</v>
      </c>
      <c r="G203" t="s">
        <v>1489</v>
      </c>
      <c r="H203" t="s">
        <v>1490</v>
      </c>
      <c r="I203" t="s">
        <v>188</v>
      </c>
      <c r="J203" s="12">
        <v>480</v>
      </c>
      <c r="K203" s="12">
        <v>37</v>
      </c>
      <c r="L203" s="12">
        <v>18</v>
      </c>
      <c r="M203" s="12">
        <v>30</v>
      </c>
      <c r="N203" s="12">
        <v>7</v>
      </c>
      <c r="O203" t="s">
        <v>1216</v>
      </c>
      <c r="P203" t="s">
        <v>1275</v>
      </c>
      <c r="Q203" t="s">
        <v>1491</v>
      </c>
    </row>
    <row r="204" spans="1:17" ht="120" customHeight="1">
      <c r="A204" t="s">
        <v>1492</v>
      </c>
      <c r="B204" t="s">
        <v>1493</v>
      </c>
      <c r="C204" t="s">
        <v>1166</v>
      </c>
      <c r="D204" t="s">
        <v>1314</v>
      </c>
      <c r="E204" t="s">
        <v>74</v>
      </c>
      <c r="F204" t="s">
        <v>22</v>
      </c>
      <c r="G204" t="s">
        <v>1494</v>
      </c>
      <c r="H204" t="s">
        <v>1495</v>
      </c>
      <c r="I204" t="s">
        <v>188</v>
      </c>
      <c r="J204" s="12">
        <v>445</v>
      </c>
      <c r="K204" s="12">
        <v>42</v>
      </c>
      <c r="L204" s="12">
        <v>31</v>
      </c>
      <c r="M204" s="12">
        <v>18</v>
      </c>
      <c r="N204" s="12">
        <v>5</v>
      </c>
      <c r="O204" t="s">
        <v>1216</v>
      </c>
      <c r="P204" t="s">
        <v>1275</v>
      </c>
      <c r="Q204" t="s">
        <v>1496</v>
      </c>
    </row>
    <row r="205" spans="1:17" ht="120" customHeight="1">
      <c r="A205" t="s">
        <v>1497</v>
      </c>
      <c r="B205" t="s">
        <v>1498</v>
      </c>
      <c r="C205" t="s">
        <v>1166</v>
      </c>
      <c r="D205" t="s">
        <v>1279</v>
      </c>
      <c r="E205" t="s">
        <v>74</v>
      </c>
      <c r="F205" t="s">
        <v>22</v>
      </c>
      <c r="G205" t="s">
        <v>1499</v>
      </c>
      <c r="H205" t="s">
        <v>1500</v>
      </c>
      <c r="I205" t="s">
        <v>188</v>
      </c>
      <c r="J205" s="12">
        <v>400</v>
      </c>
      <c r="K205" s="12">
        <v>51</v>
      </c>
      <c r="L205" s="12">
        <v>19</v>
      </c>
      <c r="M205" s="12">
        <v>14</v>
      </c>
      <c r="N205" s="12">
        <v>5</v>
      </c>
      <c r="O205" t="s">
        <v>1216</v>
      </c>
      <c r="P205" t="s">
        <v>1275</v>
      </c>
      <c r="Q205" t="s">
        <v>1501</v>
      </c>
    </row>
    <row r="206" spans="1:17" ht="120" customHeight="1">
      <c r="A206" t="s">
        <v>1502</v>
      </c>
      <c r="B206" t="s">
        <v>1503</v>
      </c>
      <c r="C206" t="s">
        <v>1166</v>
      </c>
      <c r="D206" t="s">
        <v>1314</v>
      </c>
      <c r="E206" t="s">
        <v>214</v>
      </c>
      <c r="F206" t="s">
        <v>22</v>
      </c>
      <c r="G206" t="s">
        <v>1504</v>
      </c>
      <c r="H206" t="s">
        <v>1505</v>
      </c>
      <c r="I206" t="s">
        <v>188</v>
      </c>
      <c r="J206" s="12">
        <v>300</v>
      </c>
      <c r="K206" s="12">
        <v>38</v>
      </c>
      <c r="L206" s="12">
        <v>10</v>
      </c>
      <c r="M206" s="12">
        <v>11</v>
      </c>
      <c r="N206" s="12">
        <v>3</v>
      </c>
      <c r="O206" t="s">
        <v>1216</v>
      </c>
      <c r="P206" t="s">
        <v>1275</v>
      </c>
      <c r="Q206" t="s">
        <v>1506</v>
      </c>
    </row>
    <row r="207" spans="1:17" ht="120" customHeight="1">
      <c r="A207" t="s">
        <v>1507</v>
      </c>
      <c r="B207" t="s">
        <v>1508</v>
      </c>
      <c r="C207" t="s">
        <v>1166</v>
      </c>
      <c r="D207" t="s">
        <v>1509</v>
      </c>
      <c r="E207" t="s">
        <v>74</v>
      </c>
      <c r="F207" t="s">
        <v>22</v>
      </c>
      <c r="G207" t="s">
        <v>1510</v>
      </c>
      <c r="H207" t="s">
        <v>1511</v>
      </c>
      <c r="I207" t="s">
        <v>188</v>
      </c>
      <c r="J207" s="12">
        <v>440</v>
      </c>
      <c r="K207" s="12">
        <v>44</v>
      </c>
      <c r="L207" s="12">
        <v>15</v>
      </c>
      <c r="M207" s="12">
        <v>23</v>
      </c>
      <c r="N207" s="12">
        <v>7</v>
      </c>
      <c r="O207" t="s">
        <v>1216</v>
      </c>
      <c r="P207" t="s">
        <v>1275</v>
      </c>
      <c r="Q207" t="s">
        <v>1512</v>
      </c>
    </row>
    <row r="208" spans="1:17" ht="120" customHeight="1">
      <c r="A208" t="s">
        <v>1513</v>
      </c>
      <c r="B208" t="s">
        <v>1514</v>
      </c>
      <c r="C208" t="s">
        <v>1166</v>
      </c>
      <c r="D208" t="s">
        <v>1314</v>
      </c>
      <c r="E208" t="s">
        <v>74</v>
      </c>
      <c r="F208" t="s">
        <v>22</v>
      </c>
      <c r="G208" t="s">
        <v>1515</v>
      </c>
      <c r="H208" t="s">
        <v>1516</v>
      </c>
      <c r="I208" t="s">
        <v>188</v>
      </c>
      <c r="J208" s="12">
        <v>405</v>
      </c>
      <c r="K208" s="12">
        <v>45</v>
      </c>
      <c r="L208" s="12">
        <v>31</v>
      </c>
      <c r="M208" s="12">
        <v>10</v>
      </c>
      <c r="N208" s="12">
        <v>5</v>
      </c>
      <c r="O208" t="s">
        <v>1216</v>
      </c>
      <c r="P208" t="s">
        <v>1275</v>
      </c>
      <c r="Q208" t="s">
        <v>1517</v>
      </c>
    </row>
    <row r="209" spans="1:17" ht="120" customHeight="1">
      <c r="A209" t="s">
        <v>1518</v>
      </c>
      <c r="B209" t="s">
        <v>1519</v>
      </c>
      <c r="C209" t="s">
        <v>1166</v>
      </c>
      <c r="D209" t="s">
        <v>1314</v>
      </c>
      <c r="E209" t="s">
        <v>214</v>
      </c>
      <c r="F209" t="s">
        <v>22</v>
      </c>
      <c r="G209" t="s">
        <v>1520</v>
      </c>
      <c r="H209" t="s">
        <v>1521</v>
      </c>
      <c r="I209" t="s">
        <v>188</v>
      </c>
      <c r="J209" s="12">
        <v>350</v>
      </c>
      <c r="K209" s="12">
        <v>43</v>
      </c>
      <c r="L209" s="12">
        <v>8</v>
      </c>
      <c r="M209" s="12">
        <v>16</v>
      </c>
      <c r="N209" s="12"/>
      <c r="O209" t="s">
        <v>1216</v>
      </c>
      <c r="P209" t="s">
        <v>1275</v>
      </c>
      <c r="Q209" t="s">
        <v>1522</v>
      </c>
    </row>
    <row r="210" spans="1:17" ht="120" customHeight="1">
      <c r="A210" t="s">
        <v>1523</v>
      </c>
      <c r="B210" t="s">
        <v>1524</v>
      </c>
      <c r="C210" t="s">
        <v>1166</v>
      </c>
      <c r="D210" t="s">
        <v>1483</v>
      </c>
      <c r="E210" t="s">
        <v>74</v>
      </c>
      <c r="F210" t="s">
        <v>22</v>
      </c>
      <c r="G210" t="s">
        <v>1525</v>
      </c>
      <c r="H210" t="s">
        <v>1526</v>
      </c>
      <c r="I210" t="s">
        <v>188</v>
      </c>
      <c r="J210" s="12">
        <v>470</v>
      </c>
      <c r="K210" s="12">
        <v>38</v>
      </c>
      <c r="L210" s="12">
        <v>52</v>
      </c>
      <c r="M210" s="12">
        <v>12</v>
      </c>
      <c r="N210" s="12">
        <v>9</v>
      </c>
      <c r="O210" t="s">
        <v>1216</v>
      </c>
      <c r="P210" t="s">
        <v>1275</v>
      </c>
      <c r="Q210" t="s">
        <v>1527</v>
      </c>
    </row>
    <row r="211" spans="1:17" ht="120" customHeight="1">
      <c r="A211" t="s">
        <v>1528</v>
      </c>
      <c r="B211" t="s">
        <v>1529</v>
      </c>
      <c r="C211" t="s">
        <v>1166</v>
      </c>
      <c r="D211" t="s">
        <v>1279</v>
      </c>
      <c r="E211" t="s">
        <v>652</v>
      </c>
      <c r="F211" t="s">
        <v>22</v>
      </c>
      <c r="G211" t="s">
        <v>1530</v>
      </c>
      <c r="H211" t="s">
        <v>1531</v>
      </c>
      <c r="I211" t="s">
        <v>188</v>
      </c>
      <c r="J211" s="12">
        <v>445</v>
      </c>
      <c r="K211" s="12">
        <v>38</v>
      </c>
      <c r="L211" s="12">
        <v>35</v>
      </c>
      <c r="M211" s="12">
        <v>17</v>
      </c>
      <c r="N211" s="12">
        <v>4</v>
      </c>
      <c r="O211" t="s">
        <v>1216</v>
      </c>
      <c r="P211" t="s">
        <v>1275</v>
      </c>
      <c r="Q211" t="s">
        <v>1532</v>
      </c>
    </row>
    <row r="212" spans="1:17" ht="120" customHeight="1">
      <c r="A212" t="s">
        <v>1533</v>
      </c>
      <c r="B212" t="s">
        <v>1534</v>
      </c>
      <c r="C212" t="s">
        <v>1166</v>
      </c>
      <c r="D212" t="s">
        <v>1535</v>
      </c>
      <c r="E212" t="s">
        <v>74</v>
      </c>
      <c r="F212" t="s">
        <v>22</v>
      </c>
      <c r="G212" t="s">
        <v>1536</v>
      </c>
      <c r="H212" t="s">
        <v>1537</v>
      </c>
      <c r="I212" t="s">
        <v>188</v>
      </c>
      <c r="J212" s="12">
        <v>445</v>
      </c>
      <c r="K212" s="12">
        <v>25</v>
      </c>
      <c r="L212" s="12">
        <v>40</v>
      </c>
      <c r="M212" s="12">
        <v>21</v>
      </c>
      <c r="N212" s="12">
        <v>11</v>
      </c>
      <c r="O212" t="s">
        <v>1216</v>
      </c>
      <c r="P212" t="s">
        <v>1275</v>
      </c>
      <c r="Q212" t="s">
        <v>1538</v>
      </c>
    </row>
    <row r="213" spans="1:17" ht="120" customHeight="1">
      <c r="A213" t="s">
        <v>1539</v>
      </c>
      <c r="B213" t="s">
        <v>1540</v>
      </c>
      <c r="C213" t="s">
        <v>1166</v>
      </c>
      <c r="D213" t="s">
        <v>1541</v>
      </c>
      <c r="E213" t="s">
        <v>74</v>
      </c>
      <c r="F213" t="s">
        <v>22</v>
      </c>
      <c r="G213" t="s">
        <v>1542</v>
      </c>
      <c r="H213" t="s">
        <v>1543</v>
      </c>
      <c r="I213" t="s">
        <v>188</v>
      </c>
      <c r="J213" s="12">
        <v>410</v>
      </c>
      <c r="K213" s="12">
        <v>24</v>
      </c>
      <c r="L213" s="12">
        <v>41</v>
      </c>
      <c r="M213" s="12">
        <v>17</v>
      </c>
      <c r="N213" s="12">
        <v>13</v>
      </c>
      <c r="O213" t="s">
        <v>1216</v>
      </c>
      <c r="P213" t="s">
        <v>1275</v>
      </c>
      <c r="Q213" t="s">
        <v>1544</v>
      </c>
    </row>
    <row r="214" spans="1:17" ht="120" customHeight="1">
      <c r="A214" t="s">
        <v>1545</v>
      </c>
      <c r="B214" t="s">
        <v>1546</v>
      </c>
      <c r="C214" t="s">
        <v>1166</v>
      </c>
      <c r="D214" t="s">
        <v>1483</v>
      </c>
      <c r="E214" t="s">
        <v>74</v>
      </c>
      <c r="F214" t="s">
        <v>22</v>
      </c>
      <c r="G214" t="s">
        <v>1547</v>
      </c>
      <c r="H214" t="s">
        <v>1548</v>
      </c>
      <c r="I214" t="s">
        <v>188</v>
      </c>
      <c r="J214" s="12">
        <v>480</v>
      </c>
      <c r="K214" s="12">
        <v>44</v>
      </c>
      <c r="L214" s="12">
        <v>50</v>
      </c>
      <c r="M214" s="12">
        <v>11</v>
      </c>
      <c r="N214" s="12">
        <v>10</v>
      </c>
      <c r="O214" t="s">
        <v>1216</v>
      </c>
      <c r="P214" t="s">
        <v>1275</v>
      </c>
      <c r="Q214" t="s">
        <v>1549</v>
      </c>
    </row>
    <row r="215" spans="1:17" ht="120" customHeight="1">
      <c r="A215" t="s">
        <v>1550</v>
      </c>
      <c r="B215" t="s">
        <v>1551</v>
      </c>
      <c r="C215" t="s">
        <v>41</v>
      </c>
      <c r="D215" t="s">
        <v>1552</v>
      </c>
      <c r="E215" t="s">
        <v>74</v>
      </c>
      <c r="F215" t="s">
        <v>22</v>
      </c>
      <c r="G215" t="s">
        <v>1553</v>
      </c>
      <c r="H215" t="s">
        <v>1554</v>
      </c>
      <c r="I215" t="s">
        <v>188</v>
      </c>
      <c r="J215" s="12">
        <v>190</v>
      </c>
      <c r="K215" s="12">
        <v>5</v>
      </c>
      <c r="L215" s="12">
        <v>36</v>
      </c>
      <c r="M215" s="12">
        <v>4</v>
      </c>
      <c r="N215" s="12">
        <v>4</v>
      </c>
      <c r="O215" t="s">
        <v>1216</v>
      </c>
      <c r="P215" t="s">
        <v>1275</v>
      </c>
      <c r="Q215" t="s">
        <v>1555</v>
      </c>
    </row>
    <row r="216" spans="1:17" ht="120" customHeight="1">
      <c r="A216" t="s">
        <v>1556</v>
      </c>
      <c r="B216" t="s">
        <v>1557</v>
      </c>
      <c r="C216" t="s">
        <v>41</v>
      </c>
      <c r="D216" t="s">
        <v>1552</v>
      </c>
      <c r="E216" t="s">
        <v>214</v>
      </c>
      <c r="F216" t="s">
        <v>22</v>
      </c>
      <c r="G216" t="s">
        <v>1558</v>
      </c>
      <c r="H216" t="s">
        <v>1559</v>
      </c>
      <c r="I216" t="s">
        <v>188</v>
      </c>
      <c r="J216" s="12">
        <v>210</v>
      </c>
      <c r="K216" s="12">
        <v>5</v>
      </c>
      <c r="L216" s="12">
        <v>40</v>
      </c>
      <c r="M216" s="12">
        <v>4</v>
      </c>
      <c r="N216" s="12">
        <v>5</v>
      </c>
      <c r="O216" t="s">
        <v>1216</v>
      </c>
      <c r="P216" t="s">
        <v>1275</v>
      </c>
      <c r="Q216" t="s">
        <v>1560</v>
      </c>
    </row>
    <row r="217" spans="1:17" ht="120" customHeight="1">
      <c r="A217" t="s">
        <v>1561</v>
      </c>
      <c r="B217" t="s">
        <v>1562</v>
      </c>
      <c r="C217" t="s">
        <v>41</v>
      </c>
      <c r="D217" t="s">
        <v>1552</v>
      </c>
      <c r="E217" t="s">
        <v>74</v>
      </c>
      <c r="F217" t="s">
        <v>22</v>
      </c>
      <c r="G217" t="s">
        <v>1563</v>
      </c>
      <c r="H217" t="s">
        <v>1564</v>
      </c>
      <c r="I217" t="s">
        <v>188</v>
      </c>
      <c r="J217" s="12">
        <v>205</v>
      </c>
      <c r="K217" s="12">
        <v>4</v>
      </c>
      <c r="L217" s="12">
        <v>39</v>
      </c>
      <c r="M217" s="12">
        <v>4</v>
      </c>
      <c r="N217" s="12">
        <v>4</v>
      </c>
      <c r="O217" t="s">
        <v>1216</v>
      </c>
      <c r="P217" t="s">
        <v>1275</v>
      </c>
      <c r="Q217" t="s">
        <v>1565</v>
      </c>
    </row>
    <row r="218" spans="1:17" ht="120" customHeight="1">
      <c r="A218" t="s">
        <v>1566</v>
      </c>
      <c r="B218" t="s">
        <v>1567</v>
      </c>
      <c r="C218" t="s">
        <v>41</v>
      </c>
      <c r="D218" t="s">
        <v>1552</v>
      </c>
      <c r="E218" t="s">
        <v>74</v>
      </c>
      <c r="F218" t="s">
        <v>22</v>
      </c>
      <c r="G218" t="s">
        <v>1568</v>
      </c>
      <c r="H218" t="s">
        <v>1569</v>
      </c>
      <c r="I218" t="s">
        <v>188</v>
      </c>
      <c r="J218" s="12">
        <v>250</v>
      </c>
      <c r="K218" s="12">
        <v>8</v>
      </c>
      <c r="L218" s="12">
        <v>46</v>
      </c>
      <c r="M218" s="12">
        <v>4</v>
      </c>
      <c r="N218" s="12">
        <v>7</v>
      </c>
      <c r="O218" t="s">
        <v>1216</v>
      </c>
      <c r="P218" t="s">
        <v>1275</v>
      </c>
      <c r="Q218" t="s">
        <v>1570</v>
      </c>
    </row>
    <row r="219" spans="1:17" ht="120" customHeight="1">
      <c r="A219" t="s">
        <v>1571</v>
      </c>
      <c r="B219" t="s">
        <v>1572</v>
      </c>
      <c r="C219" t="s">
        <v>41</v>
      </c>
      <c r="D219" t="s">
        <v>1573</v>
      </c>
      <c r="E219" t="s">
        <v>245</v>
      </c>
      <c r="F219" t="s">
        <v>22</v>
      </c>
      <c r="G219" t="s">
        <v>1574</v>
      </c>
      <c r="H219" t="s">
        <v>1575</v>
      </c>
      <c r="I219" t="s">
        <v>188</v>
      </c>
      <c r="J219" s="12">
        <v>205</v>
      </c>
      <c r="K219" s="12">
        <v>4</v>
      </c>
      <c r="L219" s="12">
        <v>40</v>
      </c>
      <c r="M219" s="12">
        <v>4</v>
      </c>
      <c r="N219" s="12">
        <v>3</v>
      </c>
      <c r="O219" t="s">
        <v>1216</v>
      </c>
      <c r="P219" t="s">
        <v>1275</v>
      </c>
      <c r="Q219" t="s">
        <v>1576</v>
      </c>
    </row>
    <row r="220" spans="1:17" ht="120" customHeight="1">
      <c r="A220" t="s">
        <v>1577</v>
      </c>
      <c r="B220" t="s">
        <v>1578</v>
      </c>
      <c r="C220" t="s">
        <v>41</v>
      </c>
      <c r="D220" t="s">
        <v>1552</v>
      </c>
      <c r="E220" t="s">
        <v>214</v>
      </c>
      <c r="F220" t="s">
        <v>22</v>
      </c>
      <c r="G220" t="s">
        <v>1579</v>
      </c>
      <c r="H220" t="s">
        <v>1580</v>
      </c>
      <c r="I220" t="s">
        <v>188</v>
      </c>
      <c r="J220" s="12">
        <v>190</v>
      </c>
      <c r="K220" s="12">
        <v>5</v>
      </c>
      <c r="L220" s="12">
        <v>35</v>
      </c>
      <c r="M220" s="12">
        <v>4</v>
      </c>
      <c r="N220" s="12">
        <v>4</v>
      </c>
      <c r="O220" t="s">
        <v>1216</v>
      </c>
      <c r="P220" t="s">
        <v>1275</v>
      </c>
      <c r="Q220" t="s">
        <v>1581</v>
      </c>
    </row>
    <row r="221" spans="1:17" ht="120" customHeight="1">
      <c r="A221" t="s">
        <v>1582</v>
      </c>
      <c r="B221" t="s">
        <v>1583</v>
      </c>
      <c r="C221" t="s">
        <v>41</v>
      </c>
      <c r="D221" t="s">
        <v>1552</v>
      </c>
      <c r="E221" t="s">
        <v>214</v>
      </c>
      <c r="F221" t="s">
        <v>22</v>
      </c>
      <c r="G221" t="s">
        <v>1584</v>
      </c>
      <c r="H221" t="s">
        <v>1585</v>
      </c>
      <c r="I221" t="s">
        <v>188</v>
      </c>
      <c r="J221" s="12">
        <v>195</v>
      </c>
      <c r="K221" s="12">
        <v>4</v>
      </c>
      <c r="L221" s="12">
        <v>36</v>
      </c>
      <c r="M221" s="12">
        <v>4</v>
      </c>
      <c r="N221" s="12">
        <v>4</v>
      </c>
      <c r="O221" t="s">
        <v>1216</v>
      </c>
      <c r="P221" t="s">
        <v>1275</v>
      </c>
      <c r="Q221" t="s">
        <v>1586</v>
      </c>
    </row>
    <row r="222" spans="1:17" ht="120" customHeight="1">
      <c r="A222" t="s">
        <v>1587</v>
      </c>
      <c r="B222" t="s">
        <v>1588</v>
      </c>
      <c r="C222" t="s">
        <v>41</v>
      </c>
      <c r="D222" t="s">
        <v>1552</v>
      </c>
      <c r="E222" t="s">
        <v>74</v>
      </c>
      <c r="F222" t="s">
        <v>22</v>
      </c>
      <c r="G222" t="s">
        <v>1589</v>
      </c>
      <c r="H222" t="s">
        <v>1590</v>
      </c>
      <c r="I222" t="s">
        <v>188</v>
      </c>
      <c r="J222" s="12">
        <v>255</v>
      </c>
      <c r="K222" s="12">
        <v>8</v>
      </c>
      <c r="L222" s="12">
        <v>47</v>
      </c>
      <c r="M222" s="12">
        <v>4</v>
      </c>
      <c r="N222" s="12">
        <v>7</v>
      </c>
      <c r="O222" t="s">
        <v>1216</v>
      </c>
      <c r="P222" t="s">
        <v>1275</v>
      </c>
      <c r="Q222" t="s">
        <v>1591</v>
      </c>
    </row>
    <row r="223" spans="1:17" ht="120" customHeight="1">
      <c r="A223" t="s">
        <v>1592</v>
      </c>
      <c r="B223" t="s">
        <v>1593</v>
      </c>
      <c r="C223" t="s">
        <v>41</v>
      </c>
      <c r="D223" t="s">
        <v>1552</v>
      </c>
      <c r="E223" t="s">
        <v>74</v>
      </c>
      <c r="F223" t="s">
        <v>22</v>
      </c>
      <c r="G223" t="s">
        <v>1594</v>
      </c>
      <c r="H223" t="s">
        <v>1595</v>
      </c>
      <c r="I223" t="s">
        <v>188</v>
      </c>
      <c r="J223" s="12">
        <v>200</v>
      </c>
      <c r="K223" s="12">
        <v>6</v>
      </c>
      <c r="L223" s="12">
        <v>34</v>
      </c>
      <c r="M223" s="12">
        <v>5</v>
      </c>
      <c r="N223" s="12">
        <v>4</v>
      </c>
      <c r="O223" t="s">
        <v>1216</v>
      </c>
      <c r="P223" t="s">
        <v>1275</v>
      </c>
      <c r="Q223" t="s">
        <v>1596</v>
      </c>
    </row>
    <row r="224" spans="1:17" ht="120" customHeight="1">
      <c r="A224" t="s">
        <v>1597</v>
      </c>
      <c r="B224" t="s">
        <v>1598</v>
      </c>
      <c r="C224" t="s">
        <v>41</v>
      </c>
      <c r="D224" t="s">
        <v>1552</v>
      </c>
      <c r="E224" t="s">
        <v>245</v>
      </c>
      <c r="F224" t="s">
        <v>22</v>
      </c>
      <c r="G224" t="s">
        <v>1599</v>
      </c>
      <c r="H224" t="s">
        <v>1600</v>
      </c>
      <c r="I224" t="s">
        <v>188</v>
      </c>
      <c r="J224" s="12">
        <v>185</v>
      </c>
      <c r="K224" s="12">
        <v>4</v>
      </c>
      <c r="L224" s="12">
        <v>34</v>
      </c>
      <c r="M224" s="12">
        <v>4</v>
      </c>
      <c r="N224" s="12">
        <v>4</v>
      </c>
      <c r="O224" t="s">
        <v>1216</v>
      </c>
      <c r="P224" t="s">
        <v>1275</v>
      </c>
      <c r="Q224" t="s">
        <v>1601</v>
      </c>
    </row>
    <row r="225" spans="1:17" ht="120" customHeight="1">
      <c r="A225" t="s">
        <v>1602</v>
      </c>
      <c r="B225" t="s">
        <v>1603</v>
      </c>
      <c r="C225" t="s">
        <v>41</v>
      </c>
      <c r="D225" t="s">
        <v>1573</v>
      </c>
      <c r="E225" t="s">
        <v>214</v>
      </c>
      <c r="F225" t="s">
        <v>22</v>
      </c>
      <c r="G225" t="s">
        <v>1604</v>
      </c>
      <c r="H225" t="s">
        <v>1605</v>
      </c>
      <c r="I225" t="s">
        <v>188</v>
      </c>
      <c r="J225" s="12">
        <v>210</v>
      </c>
      <c r="K225" s="12">
        <v>3</v>
      </c>
      <c r="L225" s="12">
        <v>43</v>
      </c>
      <c r="M225" s="12">
        <v>4</v>
      </c>
      <c r="N225" s="12">
        <v>2</v>
      </c>
      <c r="O225" t="s">
        <v>1216</v>
      </c>
      <c r="P225" t="s">
        <v>1275</v>
      </c>
      <c r="Q225" t="s">
        <v>1606</v>
      </c>
    </row>
    <row r="226" spans="1:17" ht="120" customHeight="1">
      <c r="A226" t="s">
        <v>1607</v>
      </c>
      <c r="B226" t="s">
        <v>1608</v>
      </c>
      <c r="C226" t="s">
        <v>41</v>
      </c>
      <c r="D226" t="s">
        <v>1573</v>
      </c>
      <c r="E226" t="s">
        <v>214</v>
      </c>
      <c r="F226" t="s">
        <v>22</v>
      </c>
      <c r="G226" t="s">
        <v>1609</v>
      </c>
      <c r="H226" t="s">
        <v>1610</v>
      </c>
      <c r="I226" t="s">
        <v>188</v>
      </c>
      <c r="J226" s="12">
        <v>225</v>
      </c>
      <c r="K226" s="12">
        <v>5</v>
      </c>
      <c r="L226" s="12">
        <v>33</v>
      </c>
      <c r="M226" s="12">
        <v>9</v>
      </c>
      <c r="N226" s="12">
        <v>3</v>
      </c>
      <c r="O226" t="s">
        <v>1216</v>
      </c>
      <c r="P226" t="s">
        <v>1275</v>
      </c>
      <c r="Q226" t="s">
        <v>1611</v>
      </c>
    </row>
    <row r="227" spans="1:17" ht="120" customHeight="1">
      <c r="A227" t="s">
        <v>1612</v>
      </c>
      <c r="B227" t="s">
        <v>1613</v>
      </c>
      <c r="C227" t="s">
        <v>41</v>
      </c>
      <c r="D227" t="s">
        <v>1573</v>
      </c>
      <c r="E227" t="s">
        <v>245</v>
      </c>
      <c r="F227" t="s">
        <v>22</v>
      </c>
      <c r="G227" t="s">
        <v>1614</v>
      </c>
      <c r="H227" t="s">
        <v>1615</v>
      </c>
      <c r="I227" t="s">
        <v>188</v>
      </c>
      <c r="J227" s="12">
        <v>235</v>
      </c>
      <c r="K227" s="12">
        <v>4</v>
      </c>
      <c r="L227" s="12">
        <v>36</v>
      </c>
      <c r="M227" s="12">
        <v>9</v>
      </c>
      <c r="N227" s="12">
        <v>3</v>
      </c>
      <c r="O227" t="s">
        <v>1216</v>
      </c>
      <c r="P227" t="s">
        <v>1275</v>
      </c>
      <c r="Q227" t="s">
        <v>1616</v>
      </c>
    </row>
    <row r="228" spans="1:17" ht="120" customHeight="1">
      <c r="A228" t="s">
        <v>1617</v>
      </c>
      <c r="B228" t="s">
        <v>1618</v>
      </c>
      <c r="C228" t="s">
        <v>41</v>
      </c>
      <c r="D228" t="s">
        <v>1619</v>
      </c>
      <c r="E228" t="s">
        <v>74</v>
      </c>
      <c r="F228" t="s">
        <v>22</v>
      </c>
      <c r="G228" t="s">
        <v>1620</v>
      </c>
      <c r="H228" t="s">
        <v>1621</v>
      </c>
      <c r="I228" t="s">
        <v>188</v>
      </c>
      <c r="J228" s="12">
        <v>230</v>
      </c>
      <c r="K228" s="12">
        <v>10</v>
      </c>
      <c r="L228" s="12">
        <v>34</v>
      </c>
      <c r="M228" s="12">
        <v>6</v>
      </c>
      <c r="N228" s="12">
        <v>9</v>
      </c>
      <c r="O228" t="s">
        <v>1216</v>
      </c>
      <c r="P228" t="s">
        <v>1275</v>
      </c>
      <c r="Q228" t="s">
        <v>1622</v>
      </c>
    </row>
    <row r="229" spans="1:17" ht="120" customHeight="1">
      <c r="A229" t="s">
        <v>1623</v>
      </c>
      <c r="B229" t="s">
        <v>1624</v>
      </c>
      <c r="C229" t="s">
        <v>41</v>
      </c>
      <c r="D229" t="s">
        <v>1619</v>
      </c>
      <c r="E229" t="s">
        <v>74</v>
      </c>
      <c r="F229" t="s">
        <v>22</v>
      </c>
      <c r="G229" t="s">
        <v>1625</v>
      </c>
      <c r="H229" t="s">
        <v>1626</v>
      </c>
      <c r="I229" t="s">
        <v>188</v>
      </c>
      <c r="J229" s="12">
        <v>245</v>
      </c>
      <c r="K229" s="12">
        <v>10</v>
      </c>
      <c r="L229" s="12">
        <v>39</v>
      </c>
      <c r="M229" s="12">
        <v>6</v>
      </c>
      <c r="N229" s="12">
        <v>9</v>
      </c>
      <c r="O229" t="s">
        <v>1216</v>
      </c>
      <c r="P229" t="s">
        <v>1275</v>
      </c>
      <c r="Q229" t="s">
        <v>1627</v>
      </c>
    </row>
    <row r="230" spans="1:17" ht="120" customHeight="1">
      <c r="A230" t="s">
        <v>1628</v>
      </c>
      <c r="B230" t="s">
        <v>1629</v>
      </c>
      <c r="C230" t="s">
        <v>41</v>
      </c>
      <c r="D230" t="s">
        <v>1619</v>
      </c>
      <c r="E230" t="s">
        <v>74</v>
      </c>
      <c r="F230" t="s">
        <v>22</v>
      </c>
      <c r="G230" t="s">
        <v>1630</v>
      </c>
      <c r="H230" t="s">
        <v>1631</v>
      </c>
      <c r="I230" t="s">
        <v>188</v>
      </c>
      <c r="J230" s="12">
        <v>245</v>
      </c>
      <c r="K230" s="12">
        <v>9</v>
      </c>
      <c r="L230" s="12">
        <v>42</v>
      </c>
      <c r="M230" s="12">
        <v>5</v>
      </c>
      <c r="N230" s="12">
        <v>8</v>
      </c>
      <c r="O230" t="s">
        <v>1216</v>
      </c>
      <c r="P230" t="s">
        <v>1275</v>
      </c>
      <c r="Q230" t="s">
        <v>1632</v>
      </c>
    </row>
    <row r="231" spans="1:17" ht="120" customHeight="1">
      <c r="A231" t="s">
        <v>1633</v>
      </c>
      <c r="B231" t="s">
        <v>1634</v>
      </c>
      <c r="C231" t="s">
        <v>41</v>
      </c>
      <c r="D231" t="s">
        <v>1619</v>
      </c>
      <c r="E231" t="s">
        <v>74</v>
      </c>
      <c r="F231" t="s">
        <v>22</v>
      </c>
      <c r="G231" t="s">
        <v>1635</v>
      </c>
      <c r="H231" t="s">
        <v>1636</v>
      </c>
      <c r="I231" t="s">
        <v>188</v>
      </c>
      <c r="J231" s="12">
        <v>235</v>
      </c>
      <c r="K231" s="12">
        <v>10</v>
      </c>
      <c r="L231" s="12">
        <v>36</v>
      </c>
      <c r="M231" s="12">
        <v>6</v>
      </c>
      <c r="N231" s="12">
        <v>10</v>
      </c>
      <c r="O231" t="s">
        <v>1216</v>
      </c>
      <c r="P231" t="s">
        <v>1275</v>
      </c>
      <c r="Q231" t="s">
        <v>1637</v>
      </c>
    </row>
    <row r="232" spans="1:17" ht="120" customHeight="1">
      <c r="A232" t="s">
        <v>1638</v>
      </c>
      <c r="B232" t="s">
        <v>1639</v>
      </c>
      <c r="C232" t="s">
        <v>41</v>
      </c>
      <c r="D232" t="s">
        <v>1619</v>
      </c>
      <c r="E232" t="s">
        <v>74</v>
      </c>
      <c r="F232" t="s">
        <v>22</v>
      </c>
      <c r="G232" t="s">
        <v>1640</v>
      </c>
      <c r="H232" t="s">
        <v>1641</v>
      </c>
      <c r="I232" t="s">
        <v>188</v>
      </c>
      <c r="J232" s="12">
        <v>220</v>
      </c>
      <c r="K232" s="12">
        <v>9</v>
      </c>
      <c r="L232" s="12">
        <v>34</v>
      </c>
      <c r="M232" s="12">
        <v>6</v>
      </c>
      <c r="N232" s="12">
        <v>9</v>
      </c>
      <c r="O232" t="s">
        <v>1216</v>
      </c>
      <c r="P232" t="s">
        <v>1275</v>
      </c>
      <c r="Q232" t="s">
        <v>1642</v>
      </c>
    </row>
    <row r="233" spans="1:17" ht="120" customHeight="1">
      <c r="A233" t="s">
        <v>1643</v>
      </c>
      <c r="B233" t="s">
        <v>1644</v>
      </c>
      <c r="C233" t="s">
        <v>41</v>
      </c>
      <c r="D233" t="s">
        <v>1314</v>
      </c>
      <c r="E233" t="s">
        <v>74</v>
      </c>
      <c r="F233" t="s">
        <v>22</v>
      </c>
      <c r="G233" t="s">
        <v>1645</v>
      </c>
      <c r="H233" t="s">
        <v>1646</v>
      </c>
      <c r="I233" t="s">
        <v>188</v>
      </c>
      <c r="J233" s="12">
        <v>430</v>
      </c>
      <c r="K233" s="12">
        <v>42</v>
      </c>
      <c r="L233" s="12">
        <v>50</v>
      </c>
      <c r="M233" s="12">
        <v>8</v>
      </c>
      <c r="N233" s="12">
        <v>5</v>
      </c>
      <c r="O233" t="s">
        <v>1216</v>
      </c>
      <c r="P233" t="s">
        <v>1275</v>
      </c>
      <c r="Q233" t="s">
        <v>1647</v>
      </c>
    </row>
    <row r="234" spans="1:17" ht="120" customHeight="1">
      <c r="A234" t="s">
        <v>1648</v>
      </c>
      <c r="B234" t="s">
        <v>1649</v>
      </c>
      <c r="C234" t="s">
        <v>41</v>
      </c>
      <c r="D234" t="s">
        <v>1483</v>
      </c>
      <c r="E234" t="s">
        <v>74</v>
      </c>
      <c r="F234" t="s">
        <v>22</v>
      </c>
      <c r="G234" t="s">
        <v>1650</v>
      </c>
      <c r="H234" t="s">
        <v>1651</v>
      </c>
      <c r="I234" t="s">
        <v>188</v>
      </c>
      <c r="J234" s="12">
        <v>410</v>
      </c>
      <c r="K234" s="12">
        <v>35</v>
      </c>
      <c r="L234" s="12">
        <v>40</v>
      </c>
      <c r="M234" s="12">
        <v>12</v>
      </c>
      <c r="N234" s="12">
        <v>11</v>
      </c>
      <c r="O234" t="s">
        <v>1216</v>
      </c>
      <c r="P234" t="s">
        <v>1275</v>
      </c>
      <c r="Q234" t="s">
        <v>1652</v>
      </c>
    </row>
    <row r="235" spans="1:17" ht="120" customHeight="1">
      <c r="A235" t="s">
        <v>1653</v>
      </c>
      <c r="B235" t="s">
        <v>1654</v>
      </c>
      <c r="C235" t="s">
        <v>41</v>
      </c>
      <c r="D235" t="s">
        <v>1483</v>
      </c>
      <c r="E235" t="s">
        <v>63</v>
      </c>
      <c r="F235" t="s">
        <v>22</v>
      </c>
      <c r="G235" t="s">
        <v>1655</v>
      </c>
      <c r="H235" t="s">
        <v>1656</v>
      </c>
      <c r="I235" t="s">
        <v>188</v>
      </c>
      <c r="J235" s="12">
        <v>390</v>
      </c>
      <c r="K235" s="12">
        <v>35</v>
      </c>
      <c r="L235" s="12">
        <v>24</v>
      </c>
      <c r="M235" s="12">
        <v>17</v>
      </c>
      <c r="N235" s="12">
        <v>6</v>
      </c>
      <c r="O235" t="s">
        <v>1216</v>
      </c>
      <c r="P235" t="s">
        <v>1275</v>
      </c>
      <c r="Q235" t="s">
        <v>1657</v>
      </c>
    </row>
    <row r="236" spans="1:17" ht="120" customHeight="1">
      <c r="A236" t="s">
        <v>1658</v>
      </c>
      <c r="B236" t="s">
        <v>1659</v>
      </c>
      <c r="C236" t="s">
        <v>41</v>
      </c>
      <c r="D236" t="s">
        <v>1483</v>
      </c>
      <c r="E236" t="s">
        <v>74</v>
      </c>
      <c r="F236" t="s">
        <v>22</v>
      </c>
      <c r="G236" t="s">
        <v>1660</v>
      </c>
      <c r="H236" t="s">
        <v>1661</v>
      </c>
      <c r="I236" t="s">
        <v>188</v>
      </c>
      <c r="J236" s="12">
        <v>370</v>
      </c>
      <c r="K236" s="12">
        <v>38</v>
      </c>
      <c r="L236" s="12">
        <v>36</v>
      </c>
      <c r="M236" s="12">
        <v>7</v>
      </c>
      <c r="N236" s="12">
        <v>10</v>
      </c>
      <c r="O236" t="s">
        <v>1216</v>
      </c>
      <c r="P236" t="s">
        <v>1275</v>
      </c>
      <c r="Q236" t="s">
        <v>1662</v>
      </c>
    </row>
    <row r="237" spans="1:17" ht="120" customHeight="1">
      <c r="A237" t="s">
        <v>1663</v>
      </c>
      <c r="B237" t="s">
        <v>1664</v>
      </c>
      <c r="C237" t="s">
        <v>41</v>
      </c>
      <c r="D237" t="s">
        <v>1314</v>
      </c>
      <c r="E237" t="s">
        <v>74</v>
      </c>
      <c r="F237" t="s">
        <v>22</v>
      </c>
      <c r="G237" t="s">
        <v>1665</v>
      </c>
      <c r="H237" t="s">
        <v>1666</v>
      </c>
      <c r="I237" t="s">
        <v>188</v>
      </c>
      <c r="J237" s="12">
        <v>445</v>
      </c>
      <c r="K237" s="12">
        <v>40</v>
      </c>
      <c r="L237" s="12">
        <v>38</v>
      </c>
      <c r="M237" s="12">
        <v>15</v>
      </c>
      <c r="N237" s="12">
        <v>5</v>
      </c>
      <c r="O237" t="s">
        <v>1216</v>
      </c>
      <c r="P237" t="s">
        <v>1275</v>
      </c>
      <c r="Q237" t="s">
        <v>1667</v>
      </c>
    </row>
    <row r="238" spans="1:17" ht="120" customHeight="1">
      <c r="A238" t="s">
        <v>1668</v>
      </c>
      <c r="B238" t="s">
        <v>1669</v>
      </c>
      <c r="C238" t="s">
        <v>41</v>
      </c>
      <c r="D238" t="s">
        <v>1483</v>
      </c>
      <c r="E238" t="s">
        <v>74</v>
      </c>
      <c r="F238" t="s">
        <v>22</v>
      </c>
      <c r="G238" t="s">
        <v>1670</v>
      </c>
      <c r="H238" t="s">
        <v>1671</v>
      </c>
      <c r="I238" t="s">
        <v>188</v>
      </c>
      <c r="J238" s="12">
        <v>390</v>
      </c>
      <c r="K238" s="12">
        <v>36</v>
      </c>
      <c r="L238" s="12">
        <v>42</v>
      </c>
      <c r="M238" s="12">
        <v>8</v>
      </c>
      <c r="N238" s="12">
        <v>10</v>
      </c>
      <c r="O238" t="s">
        <v>1216</v>
      </c>
      <c r="P238" t="s">
        <v>1275</v>
      </c>
      <c r="Q238" t="s">
        <v>1672</v>
      </c>
    </row>
    <row r="239" spans="1:17" ht="120" customHeight="1">
      <c r="A239" t="s">
        <v>1673</v>
      </c>
      <c r="B239" t="s">
        <v>1674</v>
      </c>
      <c r="C239" t="s">
        <v>41</v>
      </c>
      <c r="D239" t="s">
        <v>1314</v>
      </c>
      <c r="E239" t="s">
        <v>74</v>
      </c>
      <c r="F239" t="s">
        <v>22</v>
      </c>
      <c r="G239" t="s">
        <v>1675</v>
      </c>
      <c r="H239" t="s">
        <v>1676</v>
      </c>
      <c r="I239" t="s">
        <v>188</v>
      </c>
      <c r="J239" s="12">
        <v>400</v>
      </c>
      <c r="K239" s="12">
        <v>37</v>
      </c>
      <c r="L239" s="12">
        <v>42</v>
      </c>
      <c r="M239" s="12">
        <v>8</v>
      </c>
      <c r="N239" s="12">
        <v>5</v>
      </c>
      <c r="O239" t="s">
        <v>1216</v>
      </c>
      <c r="P239" t="s">
        <v>1275</v>
      </c>
      <c r="Q239" t="s">
        <v>1677</v>
      </c>
    </row>
    <row r="240" spans="1:17" ht="120" customHeight="1">
      <c r="A240" t="s">
        <v>1678</v>
      </c>
      <c r="B240" t="s">
        <v>1679</v>
      </c>
      <c r="C240" t="s">
        <v>41</v>
      </c>
      <c r="D240" t="s">
        <v>1619</v>
      </c>
      <c r="E240" t="s">
        <v>74</v>
      </c>
      <c r="F240" t="s">
        <v>22</v>
      </c>
      <c r="G240" t="s">
        <v>1680</v>
      </c>
      <c r="H240" t="s">
        <v>1681</v>
      </c>
      <c r="I240" t="s">
        <v>188</v>
      </c>
      <c r="J240" s="12">
        <v>315</v>
      </c>
      <c r="K240" s="12">
        <v>14</v>
      </c>
      <c r="L240" s="12">
        <v>48</v>
      </c>
      <c r="M240" s="12">
        <v>7</v>
      </c>
      <c r="N240" s="12">
        <v>13</v>
      </c>
      <c r="O240" t="s">
        <v>1216</v>
      </c>
      <c r="P240" t="s">
        <v>1275</v>
      </c>
      <c r="Q240" t="s">
        <v>1682</v>
      </c>
    </row>
    <row r="241" spans="1:17" ht="120" customHeight="1">
      <c r="A241" t="s">
        <v>1683</v>
      </c>
      <c r="B241" t="s">
        <v>1684</v>
      </c>
      <c r="C241" t="s">
        <v>41</v>
      </c>
      <c r="D241" t="s">
        <v>1314</v>
      </c>
      <c r="E241" t="s">
        <v>74</v>
      </c>
      <c r="F241" t="s">
        <v>22</v>
      </c>
      <c r="G241" t="s">
        <v>1685</v>
      </c>
      <c r="H241" t="s">
        <v>1686</v>
      </c>
      <c r="I241" t="s">
        <v>188</v>
      </c>
      <c r="J241" s="12">
        <v>350</v>
      </c>
      <c r="K241" s="12">
        <v>37</v>
      </c>
      <c r="L241" s="12">
        <v>35</v>
      </c>
      <c r="M241" s="12">
        <v>6</v>
      </c>
      <c r="N241" s="12">
        <v>4</v>
      </c>
      <c r="O241" t="s">
        <v>1216</v>
      </c>
      <c r="P241" t="s">
        <v>1275</v>
      </c>
      <c r="Q241" t="s">
        <v>1687</v>
      </c>
    </row>
    <row r="242" spans="1:17" ht="120" customHeight="1">
      <c r="A242" t="s">
        <v>1688</v>
      </c>
      <c r="B242" t="s">
        <v>1689</v>
      </c>
      <c r="C242" t="s">
        <v>41</v>
      </c>
      <c r="D242" t="s">
        <v>1314</v>
      </c>
      <c r="E242" t="s">
        <v>74</v>
      </c>
      <c r="F242" t="s">
        <v>22</v>
      </c>
      <c r="G242" t="s">
        <v>1690</v>
      </c>
      <c r="H242" t="s">
        <v>1691</v>
      </c>
      <c r="I242" t="s">
        <v>188</v>
      </c>
      <c r="J242" s="12">
        <v>360</v>
      </c>
      <c r="K242" s="12">
        <v>37</v>
      </c>
      <c r="L242" s="12">
        <v>33</v>
      </c>
      <c r="M242" s="12">
        <v>8</v>
      </c>
      <c r="N242" s="12">
        <v>5</v>
      </c>
      <c r="O242" t="s">
        <v>1216</v>
      </c>
      <c r="P242" t="s">
        <v>1275</v>
      </c>
      <c r="Q242" t="s">
        <v>1692</v>
      </c>
    </row>
    <row r="243" spans="1:17" ht="120" customHeight="1">
      <c r="A243" t="s">
        <v>1693</v>
      </c>
      <c r="B243" t="s">
        <v>1694</v>
      </c>
      <c r="C243" t="s">
        <v>41</v>
      </c>
      <c r="D243" t="s">
        <v>1205</v>
      </c>
      <c r="E243" t="s">
        <v>63</v>
      </c>
      <c r="F243" t="s">
        <v>22</v>
      </c>
      <c r="G243" t="s">
        <v>1695</v>
      </c>
      <c r="H243" t="s">
        <v>1696</v>
      </c>
      <c r="I243" t="s">
        <v>188</v>
      </c>
      <c r="J243" s="12">
        <v>430</v>
      </c>
      <c r="K243" s="12">
        <v>38</v>
      </c>
      <c r="L243" s="12">
        <v>44</v>
      </c>
      <c r="M243" s="12">
        <v>12</v>
      </c>
      <c r="N243" s="12">
        <v>5</v>
      </c>
      <c r="O243" t="s">
        <v>1216</v>
      </c>
      <c r="P243" t="s">
        <v>1275</v>
      </c>
      <c r="Q243" t="s">
        <v>1697</v>
      </c>
    </row>
    <row r="244" spans="1:17" ht="120" customHeight="1">
      <c r="A244" t="s">
        <v>1698</v>
      </c>
      <c r="B244" t="s">
        <v>1699</v>
      </c>
      <c r="C244" t="s">
        <v>41</v>
      </c>
      <c r="D244" t="s">
        <v>1205</v>
      </c>
      <c r="E244" t="s">
        <v>652</v>
      </c>
      <c r="F244" t="s">
        <v>22</v>
      </c>
      <c r="G244" t="s">
        <v>1700</v>
      </c>
      <c r="H244" t="s">
        <v>1701</v>
      </c>
      <c r="I244" t="s">
        <v>188</v>
      </c>
      <c r="J244" s="12">
        <v>390</v>
      </c>
      <c r="K244" s="12">
        <v>32</v>
      </c>
      <c r="L244" s="12">
        <v>45</v>
      </c>
      <c r="M244" s="12">
        <v>10</v>
      </c>
      <c r="N244" s="12">
        <v>5</v>
      </c>
      <c r="O244" t="s">
        <v>1216</v>
      </c>
      <c r="P244" t="s">
        <v>1275</v>
      </c>
      <c r="Q244" t="s">
        <v>1702</v>
      </c>
    </row>
    <row r="245" spans="1:17" ht="120" customHeight="1">
      <c r="A245" t="s">
        <v>1703</v>
      </c>
      <c r="B245" t="s">
        <v>1704</v>
      </c>
      <c r="C245" t="s">
        <v>41</v>
      </c>
      <c r="D245" t="s">
        <v>1205</v>
      </c>
      <c r="E245" t="s">
        <v>63</v>
      </c>
      <c r="F245" t="s">
        <v>22</v>
      </c>
      <c r="G245" t="s">
        <v>1705</v>
      </c>
      <c r="H245" t="s">
        <v>1706</v>
      </c>
      <c r="I245" t="s">
        <v>188</v>
      </c>
      <c r="J245" s="12">
        <v>440</v>
      </c>
      <c r="K245" s="12">
        <v>34</v>
      </c>
      <c r="L245" s="12">
        <v>46</v>
      </c>
      <c r="M245" s="12">
        <v>15</v>
      </c>
      <c r="N245" s="12">
        <v>5</v>
      </c>
      <c r="O245" t="s">
        <v>1216</v>
      </c>
      <c r="P245" t="s">
        <v>1275</v>
      </c>
      <c r="Q245" t="s">
        <v>1707</v>
      </c>
    </row>
    <row r="246" spans="1:17" ht="120" customHeight="1">
      <c r="A246" t="s">
        <v>1708</v>
      </c>
      <c r="B246" t="s">
        <v>1709</v>
      </c>
      <c r="C246" t="s">
        <v>41</v>
      </c>
      <c r="D246" t="s">
        <v>1205</v>
      </c>
      <c r="E246" t="s">
        <v>63</v>
      </c>
      <c r="F246" t="s">
        <v>22</v>
      </c>
      <c r="G246" t="s">
        <v>1710</v>
      </c>
      <c r="H246" t="s">
        <v>1711</v>
      </c>
      <c r="I246" t="s">
        <v>188</v>
      </c>
      <c r="J246" s="12">
        <v>455</v>
      </c>
      <c r="K246" s="12">
        <v>30</v>
      </c>
      <c r="L246" s="12">
        <v>39</v>
      </c>
      <c r="M246" s="12">
        <v>20</v>
      </c>
      <c r="N246" s="12">
        <v>4</v>
      </c>
      <c r="O246" t="s">
        <v>1216</v>
      </c>
      <c r="P246" t="s">
        <v>1275</v>
      </c>
      <c r="Q246" t="s">
        <v>1712</v>
      </c>
    </row>
    <row r="247" spans="1:17" ht="120" customHeight="1">
      <c r="A247" t="s">
        <v>1713</v>
      </c>
      <c r="B247" t="s">
        <v>1714</v>
      </c>
      <c r="C247" t="s">
        <v>41</v>
      </c>
      <c r="D247" t="s">
        <v>1205</v>
      </c>
      <c r="E247" t="s">
        <v>63</v>
      </c>
      <c r="F247" t="s">
        <v>22</v>
      </c>
      <c r="G247" t="s">
        <v>1715</v>
      </c>
      <c r="H247" t="s">
        <v>1716</v>
      </c>
      <c r="I247" t="s">
        <v>188</v>
      </c>
      <c r="J247" s="12">
        <v>420</v>
      </c>
      <c r="K247" s="12">
        <v>37</v>
      </c>
      <c r="L247" s="12">
        <v>45</v>
      </c>
      <c r="M247" s="12">
        <v>11</v>
      </c>
      <c r="N247" s="12">
        <v>5</v>
      </c>
      <c r="O247" t="s">
        <v>1216</v>
      </c>
      <c r="P247" t="s">
        <v>1275</v>
      </c>
      <c r="Q247" t="s">
        <v>1717</v>
      </c>
    </row>
    <row r="248" spans="1:17" ht="120" customHeight="1">
      <c r="A248" t="s">
        <v>1718</v>
      </c>
      <c r="B248" t="s">
        <v>1719</v>
      </c>
      <c r="C248" t="s">
        <v>41</v>
      </c>
      <c r="D248" t="s">
        <v>1573</v>
      </c>
      <c r="E248" t="s">
        <v>214</v>
      </c>
      <c r="F248" t="s">
        <v>22</v>
      </c>
      <c r="G248" t="s">
        <v>1720</v>
      </c>
      <c r="H248" t="s">
        <v>1721</v>
      </c>
      <c r="I248" t="s">
        <v>188</v>
      </c>
      <c r="J248" s="12">
        <v>85</v>
      </c>
      <c r="K248" s="12">
        <v>3</v>
      </c>
      <c r="L248" s="12">
        <v>8</v>
      </c>
      <c r="M248" s="12">
        <v>5</v>
      </c>
      <c r="N248" s="12">
        <v>3</v>
      </c>
      <c r="O248" t="s">
        <v>1216</v>
      </c>
      <c r="P248" t="s">
        <v>1275</v>
      </c>
      <c r="Q248" t="s">
        <v>1722</v>
      </c>
    </row>
    <row r="249" spans="1:17" ht="120" customHeight="1">
      <c r="A249" t="s">
        <v>1723</v>
      </c>
      <c r="B249" t="s">
        <v>1724</v>
      </c>
      <c r="C249" t="s">
        <v>41</v>
      </c>
      <c r="D249" t="s">
        <v>1573</v>
      </c>
      <c r="E249" t="s">
        <v>74</v>
      </c>
      <c r="F249" t="s">
        <v>22</v>
      </c>
      <c r="G249" t="s">
        <v>1725</v>
      </c>
      <c r="H249" t="s">
        <v>1726</v>
      </c>
      <c r="I249" t="s">
        <v>188</v>
      </c>
      <c r="J249" s="12">
        <v>80</v>
      </c>
      <c r="K249" s="12">
        <v>2</v>
      </c>
      <c r="L249" s="12">
        <v>10</v>
      </c>
      <c r="M249" s="12">
        <v>4</v>
      </c>
      <c r="N249" s="12">
        <v>3</v>
      </c>
      <c r="O249" t="s">
        <v>1216</v>
      </c>
      <c r="P249" t="s">
        <v>1275</v>
      </c>
      <c r="Q249" t="s">
        <v>1727</v>
      </c>
    </row>
    <row r="250" spans="1:17" ht="120" customHeight="1">
      <c r="A250" t="s">
        <v>1728</v>
      </c>
      <c r="B250" t="s">
        <v>1729</v>
      </c>
      <c r="C250" t="s">
        <v>41</v>
      </c>
      <c r="D250" t="s">
        <v>1552</v>
      </c>
      <c r="E250" t="s">
        <v>74</v>
      </c>
      <c r="F250" t="s">
        <v>22</v>
      </c>
      <c r="G250" t="s">
        <v>1730</v>
      </c>
      <c r="H250" t="s">
        <v>1731</v>
      </c>
      <c r="I250" t="s">
        <v>188</v>
      </c>
      <c r="J250" s="12">
        <v>110</v>
      </c>
      <c r="K250" s="12">
        <v>3</v>
      </c>
      <c r="L250" s="12">
        <v>15</v>
      </c>
      <c r="M250" s="12">
        <v>5</v>
      </c>
      <c r="N250" s="12">
        <v>6</v>
      </c>
      <c r="O250" t="s">
        <v>1216</v>
      </c>
      <c r="P250" t="s">
        <v>1275</v>
      </c>
      <c r="Q250" t="s">
        <v>1732</v>
      </c>
    </row>
    <row r="251" spans="1:17" ht="120" customHeight="1">
      <c r="A251" t="s">
        <v>1733</v>
      </c>
      <c r="B251" t="s">
        <v>1734</v>
      </c>
      <c r="C251" t="s">
        <v>41</v>
      </c>
      <c r="D251" t="s">
        <v>1573</v>
      </c>
      <c r="E251" t="s">
        <v>74</v>
      </c>
      <c r="F251" t="s">
        <v>22</v>
      </c>
      <c r="G251" t="s">
        <v>1735</v>
      </c>
      <c r="H251" t="s">
        <v>1736</v>
      </c>
      <c r="I251" t="s">
        <v>188</v>
      </c>
      <c r="J251" s="12">
        <v>105</v>
      </c>
      <c r="K251" s="12">
        <v>4</v>
      </c>
      <c r="L251" s="12">
        <v>14</v>
      </c>
      <c r="M251" s="12">
        <v>5</v>
      </c>
      <c r="N251" s="12">
        <v>5</v>
      </c>
      <c r="O251" t="s">
        <v>1216</v>
      </c>
      <c r="P251" t="s">
        <v>1275</v>
      </c>
      <c r="Q251" t="s">
        <v>1737</v>
      </c>
    </row>
    <row r="252" spans="1:17" ht="120" customHeight="1">
      <c r="A252" t="s">
        <v>1738</v>
      </c>
      <c r="B252" t="s">
        <v>1739</v>
      </c>
      <c r="C252" t="s">
        <v>41</v>
      </c>
      <c r="D252" t="s">
        <v>1552</v>
      </c>
      <c r="E252" t="s">
        <v>214</v>
      </c>
      <c r="F252" t="s">
        <v>22</v>
      </c>
      <c r="G252" t="s">
        <v>1740</v>
      </c>
      <c r="H252" t="s">
        <v>1741</v>
      </c>
      <c r="I252" t="s">
        <v>188</v>
      </c>
      <c r="J252" s="12">
        <v>95</v>
      </c>
      <c r="K252" s="12">
        <v>3</v>
      </c>
      <c r="L252" s="12">
        <v>13</v>
      </c>
      <c r="M252" s="12">
        <v>4</v>
      </c>
      <c r="N252" s="12">
        <v>5</v>
      </c>
      <c r="O252" t="s">
        <v>1216</v>
      </c>
      <c r="P252" t="s">
        <v>1275</v>
      </c>
      <c r="Q252" t="s">
        <v>1742</v>
      </c>
    </row>
    <row r="253" spans="1:17" ht="120" customHeight="1">
      <c r="A253" t="s">
        <v>1743</v>
      </c>
      <c r="B253" t="s">
        <v>1744</v>
      </c>
      <c r="C253" t="s">
        <v>41</v>
      </c>
      <c r="D253" t="s">
        <v>1573</v>
      </c>
      <c r="E253" t="s">
        <v>21</v>
      </c>
      <c r="F253" t="s">
        <v>22</v>
      </c>
      <c r="G253" t="s">
        <v>1745</v>
      </c>
      <c r="H253" t="s">
        <v>1746</v>
      </c>
      <c r="I253" t="s">
        <v>188</v>
      </c>
      <c r="J253" s="12">
        <v>110</v>
      </c>
      <c r="K253" s="12">
        <v>2</v>
      </c>
      <c r="L253" s="12">
        <v>19</v>
      </c>
      <c r="M253" s="12">
        <v>5</v>
      </c>
      <c r="N253" s="12">
        <v>4</v>
      </c>
      <c r="O253" t="s">
        <v>1216</v>
      </c>
      <c r="P253" t="s">
        <v>1275</v>
      </c>
      <c r="Q253" t="s">
        <v>1747</v>
      </c>
    </row>
    <row r="254" spans="1:17" ht="120" customHeight="1">
      <c r="A254" t="s">
        <v>1748</v>
      </c>
      <c r="B254" t="s">
        <v>1749</v>
      </c>
      <c r="C254" t="s">
        <v>41</v>
      </c>
      <c r="D254" t="s">
        <v>1552</v>
      </c>
      <c r="E254" t="s">
        <v>214</v>
      </c>
      <c r="F254" t="s">
        <v>22</v>
      </c>
      <c r="G254" t="s">
        <v>1750</v>
      </c>
      <c r="H254" t="s">
        <v>1751</v>
      </c>
      <c r="I254" t="s">
        <v>188</v>
      </c>
      <c r="J254" s="12">
        <v>95</v>
      </c>
      <c r="K254" s="12">
        <v>3</v>
      </c>
      <c r="L254" s="12">
        <v>13</v>
      </c>
      <c r="M254" s="12">
        <v>5</v>
      </c>
      <c r="N254" s="12">
        <v>5</v>
      </c>
      <c r="O254" t="s">
        <v>1216</v>
      </c>
      <c r="P254" t="s">
        <v>1275</v>
      </c>
      <c r="Q254" t="s">
        <v>1752</v>
      </c>
    </row>
    <row r="255" spans="1:17" ht="120" customHeight="1">
      <c r="A255" t="s">
        <v>1753</v>
      </c>
      <c r="B255" t="s">
        <v>1754</v>
      </c>
      <c r="C255" t="s">
        <v>41</v>
      </c>
      <c r="D255" t="s">
        <v>1552</v>
      </c>
      <c r="E255" t="s">
        <v>21</v>
      </c>
      <c r="F255" t="s">
        <v>22</v>
      </c>
      <c r="G255" t="s">
        <v>1755</v>
      </c>
      <c r="H255" t="s">
        <v>1756</v>
      </c>
      <c r="I255" t="s">
        <v>188</v>
      </c>
      <c r="J255" s="12">
        <v>105</v>
      </c>
      <c r="K255" s="12">
        <v>2</v>
      </c>
      <c r="L255" s="12">
        <v>16</v>
      </c>
      <c r="M255" s="12">
        <v>5</v>
      </c>
      <c r="N255" s="12">
        <v>4</v>
      </c>
      <c r="O255" t="s">
        <v>1216</v>
      </c>
      <c r="P255" t="s">
        <v>1275</v>
      </c>
      <c r="Q255" t="s">
        <v>1757</v>
      </c>
    </row>
    <row r="256" spans="1:17" ht="120" customHeight="1">
      <c r="A256" t="s">
        <v>1758</v>
      </c>
      <c r="B256" t="s">
        <v>1759</v>
      </c>
      <c r="C256" t="s">
        <v>41</v>
      </c>
      <c r="D256" t="s">
        <v>1198</v>
      </c>
      <c r="E256" t="s">
        <v>21</v>
      </c>
      <c r="F256" t="s">
        <v>22</v>
      </c>
      <c r="G256" t="s">
        <v>1760</v>
      </c>
      <c r="H256" t="s">
        <v>1761</v>
      </c>
      <c r="I256" t="s">
        <v>188</v>
      </c>
      <c r="J256" s="12">
        <v>205</v>
      </c>
      <c r="K256" s="12">
        <v>3</v>
      </c>
      <c r="L256" s="12">
        <v>39</v>
      </c>
      <c r="M256" s="12">
        <v>5</v>
      </c>
      <c r="N256" s="12">
        <v>2</v>
      </c>
      <c r="O256" t="s">
        <v>1216</v>
      </c>
      <c r="P256" t="s">
        <v>1762</v>
      </c>
      <c r="Q256" t="s">
        <v>1763</v>
      </c>
    </row>
    <row r="257" spans="1:17" ht="120" customHeight="1">
      <c r="A257" t="s">
        <v>1764</v>
      </c>
      <c r="B257" t="s">
        <v>1765</v>
      </c>
      <c r="C257" t="s">
        <v>41</v>
      </c>
      <c r="D257" t="s">
        <v>1198</v>
      </c>
      <c r="E257" t="s">
        <v>21</v>
      </c>
      <c r="F257" t="s">
        <v>22</v>
      </c>
      <c r="G257" t="s">
        <v>1766</v>
      </c>
      <c r="H257" t="s">
        <v>1767</v>
      </c>
      <c r="I257" t="s">
        <v>188</v>
      </c>
      <c r="J257" s="12">
        <v>180</v>
      </c>
      <c r="K257" s="12">
        <v>3</v>
      </c>
      <c r="L257" s="12">
        <v>34</v>
      </c>
      <c r="M257" s="12">
        <v>5</v>
      </c>
      <c r="N257" s="12">
        <v>4</v>
      </c>
      <c r="O257" t="s">
        <v>1216</v>
      </c>
      <c r="P257" t="s">
        <v>1768</v>
      </c>
      <c r="Q257" t="s">
        <v>1769</v>
      </c>
    </row>
    <row r="258" spans="1:17" ht="120" customHeight="1">
      <c r="A258" t="s">
        <v>1770</v>
      </c>
      <c r="B258" t="s">
        <v>1771</v>
      </c>
      <c r="C258" t="s">
        <v>41</v>
      </c>
      <c r="D258" t="s">
        <v>1772</v>
      </c>
      <c r="E258" t="s">
        <v>21</v>
      </c>
      <c r="F258" t="s">
        <v>22</v>
      </c>
      <c r="G258" t="s">
        <v>1773</v>
      </c>
      <c r="H258" t="s">
        <v>1774</v>
      </c>
      <c r="I258" t="s">
        <v>188</v>
      </c>
      <c r="J258" s="12">
        <v>125</v>
      </c>
      <c r="K258" s="12">
        <v>6</v>
      </c>
      <c r="L258" s="12">
        <v>10</v>
      </c>
      <c r="M258" s="12">
        <v>7</v>
      </c>
      <c r="N258" s="12">
        <v>5</v>
      </c>
      <c r="O258" t="s">
        <v>1216</v>
      </c>
      <c r="P258" t="s">
        <v>1775</v>
      </c>
      <c r="Q258" t="s">
        <v>1776</v>
      </c>
    </row>
    <row r="259" spans="1:17" ht="120" customHeight="1">
      <c r="A259" t="s">
        <v>1777</v>
      </c>
      <c r="B259" t="s">
        <v>1778</v>
      </c>
      <c r="C259" t="s">
        <v>41</v>
      </c>
      <c r="D259" t="s">
        <v>1573</v>
      </c>
      <c r="E259" t="s">
        <v>245</v>
      </c>
      <c r="F259" t="s">
        <v>22</v>
      </c>
      <c r="G259" t="s">
        <v>1779</v>
      </c>
      <c r="H259" t="s">
        <v>1780</v>
      </c>
      <c r="I259" t="s">
        <v>188</v>
      </c>
      <c r="J259" s="12">
        <v>80</v>
      </c>
      <c r="K259" s="12">
        <v>3</v>
      </c>
      <c r="L259" s="12">
        <v>8</v>
      </c>
      <c r="M259" s="12">
        <v>5</v>
      </c>
      <c r="N259" s="12">
        <v>3</v>
      </c>
      <c r="O259" t="s">
        <v>1216</v>
      </c>
      <c r="P259" t="s">
        <v>1275</v>
      </c>
      <c r="Q259" t="s">
        <v>1781</v>
      </c>
    </row>
    <row r="260" spans="1:17" ht="120" customHeight="1">
      <c r="A260" t="s">
        <v>1782</v>
      </c>
      <c r="B260" t="s">
        <v>1783</v>
      </c>
      <c r="C260" t="s">
        <v>41</v>
      </c>
      <c r="D260" t="s">
        <v>1552</v>
      </c>
      <c r="E260" t="s">
        <v>245</v>
      </c>
      <c r="F260" t="s">
        <v>22</v>
      </c>
      <c r="G260" t="s">
        <v>1784</v>
      </c>
      <c r="H260" t="s">
        <v>1785</v>
      </c>
      <c r="I260" t="s">
        <v>188</v>
      </c>
      <c r="J260" s="12">
        <v>75</v>
      </c>
      <c r="K260" s="12">
        <v>3</v>
      </c>
      <c r="L260" s="12">
        <v>7</v>
      </c>
      <c r="M260" s="12">
        <v>5</v>
      </c>
      <c r="N260" s="12">
        <v>4</v>
      </c>
      <c r="O260" t="s">
        <v>1216</v>
      </c>
      <c r="P260" t="s">
        <v>1275</v>
      </c>
      <c r="Q260" t="s">
        <v>1786</v>
      </c>
    </row>
    <row r="261" spans="1:17" ht="120" customHeight="1">
      <c r="A261" t="s">
        <v>1787</v>
      </c>
      <c r="B261" t="s">
        <v>1788</v>
      </c>
      <c r="C261" t="s">
        <v>41</v>
      </c>
      <c r="D261" t="s">
        <v>1314</v>
      </c>
      <c r="E261" t="s">
        <v>74</v>
      </c>
      <c r="F261" t="s">
        <v>22</v>
      </c>
      <c r="G261" t="s">
        <v>1789</v>
      </c>
      <c r="H261" t="s">
        <v>1790</v>
      </c>
      <c r="I261" t="s">
        <v>188</v>
      </c>
      <c r="J261" s="12">
        <v>220</v>
      </c>
      <c r="K261" s="12">
        <v>37</v>
      </c>
      <c r="L261" s="12">
        <v>2</v>
      </c>
      <c r="M261" s="12">
        <v>7</v>
      </c>
      <c r="N261" s="12"/>
      <c r="O261" t="s">
        <v>1216</v>
      </c>
      <c r="P261" t="s">
        <v>1275</v>
      </c>
      <c r="Q261" t="s">
        <v>1791</v>
      </c>
    </row>
    <row r="262" spans="1:17" ht="120" customHeight="1">
      <c r="A262" t="s">
        <v>1792</v>
      </c>
      <c r="B262" t="s">
        <v>1793</v>
      </c>
      <c r="C262" t="s">
        <v>41</v>
      </c>
      <c r="D262" t="s">
        <v>1314</v>
      </c>
      <c r="E262" t="s">
        <v>1794</v>
      </c>
      <c r="F262" t="s">
        <v>1794</v>
      </c>
      <c r="G262" t="s">
        <v>1795</v>
      </c>
      <c r="H262" t="s">
        <v>1796</v>
      </c>
      <c r="I262" t="s">
        <v>188</v>
      </c>
      <c r="J262" s="12">
        <v>230</v>
      </c>
      <c r="K262" s="12">
        <v>38</v>
      </c>
      <c r="L262" s="12">
        <v>6</v>
      </c>
      <c r="M262" s="12">
        <v>6</v>
      </c>
      <c r="N262" s="12"/>
      <c r="O262" t="s">
        <v>1216</v>
      </c>
      <c r="P262" t="s">
        <v>1275</v>
      </c>
      <c r="Q262" t="s">
        <v>1797</v>
      </c>
    </row>
    <row r="263" spans="1:17" ht="120" customHeight="1">
      <c r="A263" t="s">
        <v>1798</v>
      </c>
      <c r="B263" t="s">
        <v>1799</v>
      </c>
      <c r="C263" t="s">
        <v>41</v>
      </c>
      <c r="D263" t="s">
        <v>1314</v>
      </c>
      <c r="E263" t="s">
        <v>1794</v>
      </c>
      <c r="F263" t="s">
        <v>1794</v>
      </c>
      <c r="G263" t="s">
        <v>1800</v>
      </c>
      <c r="H263" t="s">
        <v>1801</v>
      </c>
      <c r="I263" t="s">
        <v>188</v>
      </c>
      <c r="J263" s="12">
        <v>225</v>
      </c>
      <c r="K263" s="12">
        <v>37</v>
      </c>
      <c r="L263" s="12">
        <v>5</v>
      </c>
      <c r="M263" s="12">
        <v>6</v>
      </c>
      <c r="N263" s="12"/>
      <c r="O263" t="s">
        <v>1216</v>
      </c>
      <c r="P263" t="s">
        <v>1275</v>
      </c>
      <c r="Q263" t="s">
        <v>1802</v>
      </c>
    </row>
    <row r="264" spans="1:17" ht="120" customHeight="1">
      <c r="A264" t="s">
        <v>1803</v>
      </c>
      <c r="B264" t="s">
        <v>1804</v>
      </c>
      <c r="C264" t="s">
        <v>41</v>
      </c>
      <c r="D264" t="s">
        <v>1314</v>
      </c>
      <c r="E264" t="s">
        <v>1794</v>
      </c>
      <c r="F264" t="s">
        <v>1794</v>
      </c>
      <c r="G264" t="s">
        <v>1805</v>
      </c>
      <c r="H264" t="s">
        <v>1806</v>
      </c>
      <c r="I264" t="s">
        <v>188</v>
      </c>
      <c r="J264" s="12">
        <v>220</v>
      </c>
      <c r="K264" s="12">
        <v>37</v>
      </c>
      <c r="L264" s="12">
        <v>2</v>
      </c>
      <c r="M264" s="12">
        <v>6</v>
      </c>
      <c r="N264" s="12"/>
      <c r="O264" t="s">
        <v>1216</v>
      </c>
      <c r="P264" t="s">
        <v>1275</v>
      </c>
      <c r="Q264" t="s">
        <v>1807</v>
      </c>
    </row>
    <row r="265" spans="1:17" ht="120" customHeight="1">
      <c r="A265" t="s">
        <v>1808</v>
      </c>
      <c r="B265" t="s">
        <v>1809</v>
      </c>
      <c r="C265" t="s">
        <v>41</v>
      </c>
      <c r="D265" t="s">
        <v>1314</v>
      </c>
      <c r="E265" t="s">
        <v>1794</v>
      </c>
      <c r="F265" t="s">
        <v>1794</v>
      </c>
      <c r="G265" t="s">
        <v>1810</v>
      </c>
      <c r="H265" t="s">
        <v>1811</v>
      </c>
      <c r="I265" t="s">
        <v>188</v>
      </c>
      <c r="J265" s="12">
        <v>215</v>
      </c>
      <c r="K265" s="12">
        <v>34</v>
      </c>
      <c r="L265" s="12">
        <v>5</v>
      </c>
      <c r="M265" s="12">
        <v>6</v>
      </c>
      <c r="N265" s="12"/>
      <c r="O265" t="s">
        <v>1216</v>
      </c>
      <c r="P265" t="s">
        <v>1275</v>
      </c>
      <c r="Q265" t="s">
        <v>1812</v>
      </c>
    </row>
    <row r="266" spans="1:17" ht="120" customHeight="1">
      <c r="A266" t="s">
        <v>1813</v>
      </c>
      <c r="B266" t="s">
        <v>1814</v>
      </c>
      <c r="C266" t="s">
        <v>41</v>
      </c>
      <c r="D266" t="s">
        <v>1314</v>
      </c>
      <c r="E266" t="s">
        <v>1794</v>
      </c>
      <c r="F266" t="s">
        <v>1794</v>
      </c>
      <c r="G266" t="s">
        <v>1815</v>
      </c>
      <c r="H266" t="s">
        <v>1816</v>
      </c>
      <c r="I266" t="s">
        <v>188</v>
      </c>
      <c r="J266" s="12">
        <v>220</v>
      </c>
      <c r="K266" s="12">
        <v>38</v>
      </c>
      <c r="L266" s="12">
        <v>1</v>
      </c>
      <c r="M266" s="12">
        <v>8</v>
      </c>
      <c r="N266" s="12"/>
      <c r="O266" t="s">
        <v>1216</v>
      </c>
      <c r="P266" t="s">
        <v>1275</v>
      </c>
      <c r="Q266" t="s">
        <v>1817</v>
      </c>
    </row>
    <row r="267" spans="1:17" ht="120" customHeight="1">
      <c r="A267" t="s">
        <v>1818</v>
      </c>
      <c r="B267" t="s">
        <v>1819</v>
      </c>
      <c r="C267" t="s">
        <v>41</v>
      </c>
      <c r="D267" t="s">
        <v>1314</v>
      </c>
      <c r="E267" t="s">
        <v>1794</v>
      </c>
      <c r="F267" t="s">
        <v>1794</v>
      </c>
      <c r="G267" t="s">
        <v>1820</v>
      </c>
      <c r="H267" t="s">
        <v>1821</v>
      </c>
      <c r="I267" t="s">
        <v>188</v>
      </c>
      <c r="J267" s="12">
        <v>220</v>
      </c>
      <c r="K267" s="12">
        <v>34</v>
      </c>
      <c r="L267" s="12">
        <v>6</v>
      </c>
      <c r="M267" s="12">
        <v>7</v>
      </c>
      <c r="N267" s="12"/>
      <c r="O267" t="s">
        <v>1216</v>
      </c>
      <c r="P267" t="s">
        <v>1275</v>
      </c>
      <c r="Q267" t="s">
        <v>1822</v>
      </c>
    </row>
    <row r="268" spans="1:17" ht="120" customHeight="1">
      <c r="A268" t="s">
        <v>1823</v>
      </c>
      <c r="B268" t="s">
        <v>1824</v>
      </c>
      <c r="C268" t="s">
        <v>41</v>
      </c>
      <c r="D268" t="s">
        <v>1314</v>
      </c>
      <c r="E268" t="s">
        <v>1794</v>
      </c>
      <c r="F268" t="s">
        <v>1794</v>
      </c>
      <c r="G268" t="s">
        <v>1825</v>
      </c>
      <c r="H268" t="s">
        <v>1826</v>
      </c>
      <c r="I268" t="s">
        <v>188</v>
      </c>
      <c r="J268" s="12">
        <v>215</v>
      </c>
      <c r="K268" s="12">
        <v>34</v>
      </c>
      <c r="L268" s="12">
        <v>1</v>
      </c>
      <c r="M268" s="12">
        <v>8</v>
      </c>
      <c r="N268" s="12"/>
      <c r="O268" t="s">
        <v>1216</v>
      </c>
      <c r="P268" t="s">
        <v>1275</v>
      </c>
      <c r="Q268" t="s">
        <v>1827</v>
      </c>
    </row>
    <row r="269" spans="1:17" ht="120" customHeight="1">
      <c r="A269" t="s">
        <v>1828</v>
      </c>
      <c r="B269" t="s">
        <v>1829</v>
      </c>
      <c r="C269" t="s">
        <v>41</v>
      </c>
      <c r="D269" t="s">
        <v>1314</v>
      </c>
      <c r="E269" t="s">
        <v>1794</v>
      </c>
      <c r="F269" t="s">
        <v>1794</v>
      </c>
      <c r="G269" t="s">
        <v>1830</v>
      </c>
      <c r="H269" t="s">
        <v>1831</v>
      </c>
      <c r="I269" t="s">
        <v>188</v>
      </c>
      <c r="J269" s="12">
        <v>200</v>
      </c>
      <c r="K269" s="12">
        <v>32</v>
      </c>
      <c r="L269" s="12">
        <v>1</v>
      </c>
      <c r="M269" s="12">
        <v>7</v>
      </c>
      <c r="N269" s="12"/>
      <c r="O269" t="s">
        <v>1216</v>
      </c>
      <c r="P269" t="s">
        <v>1275</v>
      </c>
      <c r="Q269" t="s">
        <v>1832</v>
      </c>
    </row>
    <row r="270" spans="1:17" ht="120" customHeight="1">
      <c r="A270" t="s">
        <v>1833</v>
      </c>
      <c r="B270" t="s">
        <v>1834</v>
      </c>
      <c r="C270" t="s">
        <v>41</v>
      </c>
      <c r="D270" t="s">
        <v>1314</v>
      </c>
      <c r="E270" t="s">
        <v>1794</v>
      </c>
      <c r="F270" t="s">
        <v>1794</v>
      </c>
      <c r="G270" t="s">
        <v>1835</v>
      </c>
      <c r="H270" t="s">
        <v>1836</v>
      </c>
      <c r="I270" t="s">
        <v>188</v>
      </c>
      <c r="J270" s="12">
        <v>220</v>
      </c>
      <c r="K270" s="12">
        <v>38</v>
      </c>
      <c r="L270" s="12">
        <v>2</v>
      </c>
      <c r="M270" s="12">
        <v>7</v>
      </c>
      <c r="N270" s="12"/>
      <c r="O270" t="s">
        <v>1216</v>
      </c>
      <c r="P270" t="s">
        <v>1275</v>
      </c>
      <c r="Q270" t="s">
        <v>1837</v>
      </c>
    </row>
    <row r="271" spans="1:17" ht="120" customHeight="1">
      <c r="A271" t="s">
        <v>1838</v>
      </c>
      <c r="B271" t="s">
        <v>1839</v>
      </c>
      <c r="C271" t="s">
        <v>41</v>
      </c>
      <c r="D271" t="s">
        <v>1314</v>
      </c>
      <c r="E271" t="s">
        <v>1794</v>
      </c>
      <c r="F271" t="s">
        <v>1794</v>
      </c>
      <c r="G271" t="s">
        <v>1840</v>
      </c>
      <c r="H271" t="s">
        <v>1841</v>
      </c>
      <c r="I271" t="s">
        <v>188</v>
      </c>
      <c r="J271" s="12">
        <v>205</v>
      </c>
      <c r="K271" s="12">
        <v>36</v>
      </c>
      <c r="L271" s="12">
        <v>2</v>
      </c>
      <c r="M271" s="12">
        <v>6</v>
      </c>
      <c r="N271" s="12"/>
      <c r="O271" t="s">
        <v>1216</v>
      </c>
      <c r="P271" t="s">
        <v>1275</v>
      </c>
      <c r="Q271" t="s">
        <v>1842</v>
      </c>
    </row>
    <row r="272" spans="1:17" ht="120" customHeight="1">
      <c r="A272" t="s">
        <v>1843</v>
      </c>
      <c r="B272" t="s">
        <v>1844</v>
      </c>
      <c r="C272" t="s">
        <v>41</v>
      </c>
      <c r="D272" t="s">
        <v>1314</v>
      </c>
      <c r="E272" t="s">
        <v>1794</v>
      </c>
      <c r="F272" t="s">
        <v>1794</v>
      </c>
      <c r="G272" t="s">
        <v>1845</v>
      </c>
      <c r="H272" t="s">
        <v>1846</v>
      </c>
      <c r="I272" t="s">
        <v>188</v>
      </c>
      <c r="J272" s="12">
        <v>210</v>
      </c>
      <c r="K272" s="12">
        <v>34</v>
      </c>
      <c r="L272" s="12">
        <v>6</v>
      </c>
      <c r="M272" s="12">
        <v>6</v>
      </c>
      <c r="N272" s="12"/>
      <c r="O272" t="s">
        <v>1216</v>
      </c>
      <c r="P272" t="s">
        <v>1275</v>
      </c>
      <c r="Q272" t="s">
        <v>1847</v>
      </c>
    </row>
    <row r="273" spans="1:17" ht="120" customHeight="1">
      <c r="A273" t="s">
        <v>1848</v>
      </c>
      <c r="B273" t="s">
        <v>1849</v>
      </c>
      <c r="C273" t="s">
        <v>41</v>
      </c>
      <c r="D273" t="s">
        <v>1314</v>
      </c>
      <c r="E273" t="s">
        <v>1794</v>
      </c>
      <c r="F273" t="s">
        <v>1794</v>
      </c>
      <c r="G273" t="s">
        <v>1850</v>
      </c>
      <c r="H273" t="s">
        <v>1851</v>
      </c>
      <c r="I273" t="s">
        <v>188</v>
      </c>
      <c r="J273" s="12">
        <v>230</v>
      </c>
      <c r="K273" s="12">
        <v>35</v>
      </c>
      <c r="L273" s="12">
        <v>1</v>
      </c>
      <c r="M273" s="12">
        <v>9</v>
      </c>
      <c r="N273" s="12"/>
      <c r="O273" t="s">
        <v>1216</v>
      </c>
      <c r="P273" t="s">
        <v>1275</v>
      </c>
      <c r="Q273" t="s">
        <v>1852</v>
      </c>
    </row>
    <row r="274" spans="1:17" ht="120" customHeight="1">
      <c r="A274" t="s">
        <v>1853</v>
      </c>
      <c r="B274" t="s">
        <v>1854</v>
      </c>
      <c r="C274" t="s">
        <v>41</v>
      </c>
      <c r="D274" t="s">
        <v>1314</v>
      </c>
      <c r="E274" t="s">
        <v>1794</v>
      </c>
      <c r="F274" t="s">
        <v>1794</v>
      </c>
      <c r="G274" t="s">
        <v>1855</v>
      </c>
      <c r="H274" t="s">
        <v>1856</v>
      </c>
      <c r="I274" t="s">
        <v>188</v>
      </c>
      <c r="J274" s="12">
        <v>215</v>
      </c>
      <c r="K274" s="12">
        <v>34</v>
      </c>
      <c r="L274" s="12">
        <v>2</v>
      </c>
      <c r="M274" s="12">
        <v>8</v>
      </c>
      <c r="N274" s="12"/>
      <c r="O274" t="s">
        <v>1216</v>
      </c>
      <c r="P274" t="s">
        <v>1275</v>
      </c>
      <c r="Q274" t="s">
        <v>1857</v>
      </c>
    </row>
    <row r="275" spans="1:17" ht="120" customHeight="1">
      <c r="A275" t="s">
        <v>1858</v>
      </c>
      <c r="B275" t="s">
        <v>1859</v>
      </c>
      <c r="C275" t="s">
        <v>41</v>
      </c>
      <c r="D275" t="s">
        <v>1314</v>
      </c>
      <c r="E275" t="s">
        <v>1794</v>
      </c>
      <c r="F275" t="s">
        <v>1794</v>
      </c>
      <c r="G275" t="s">
        <v>1860</v>
      </c>
      <c r="H275" t="s">
        <v>1861</v>
      </c>
      <c r="I275" t="s">
        <v>188</v>
      </c>
      <c r="J275" s="12">
        <v>220</v>
      </c>
      <c r="K275" s="12">
        <v>30</v>
      </c>
      <c r="L275" s="12">
        <v>4</v>
      </c>
      <c r="M275" s="12">
        <v>9</v>
      </c>
      <c r="N275" s="12"/>
      <c r="O275" t="s">
        <v>1216</v>
      </c>
      <c r="P275" t="s">
        <v>1275</v>
      </c>
      <c r="Q275" t="s">
        <v>1862</v>
      </c>
    </row>
    <row r="276" spans="1:17" ht="120" customHeight="1">
      <c r="A276" t="s">
        <v>1863</v>
      </c>
      <c r="B276" t="s">
        <v>1864</v>
      </c>
      <c r="C276" t="s">
        <v>41</v>
      </c>
      <c r="D276" t="s">
        <v>1314</v>
      </c>
      <c r="E276" t="s">
        <v>1794</v>
      </c>
      <c r="F276" t="s">
        <v>1794</v>
      </c>
      <c r="G276" t="s">
        <v>1865</v>
      </c>
      <c r="H276" t="s">
        <v>1866</v>
      </c>
      <c r="I276" t="s">
        <v>188</v>
      </c>
      <c r="J276" s="12">
        <v>235</v>
      </c>
      <c r="K276" s="12">
        <v>30</v>
      </c>
      <c r="L276" s="12">
        <v>7</v>
      </c>
      <c r="M276" s="12">
        <v>10</v>
      </c>
      <c r="N276" s="12"/>
      <c r="O276" t="s">
        <v>1216</v>
      </c>
      <c r="P276" t="s">
        <v>1275</v>
      </c>
      <c r="Q276" t="s">
        <v>1867</v>
      </c>
    </row>
    <row r="277" spans="1:17" ht="120" customHeight="1">
      <c r="A277" t="s">
        <v>1868</v>
      </c>
      <c r="B277" t="s">
        <v>1869</v>
      </c>
      <c r="C277" t="s">
        <v>41</v>
      </c>
      <c r="D277" t="s">
        <v>1314</v>
      </c>
      <c r="E277" t="s">
        <v>1794</v>
      </c>
      <c r="F277" t="s">
        <v>1794</v>
      </c>
      <c r="G277" t="s">
        <v>1870</v>
      </c>
      <c r="H277" t="s">
        <v>1871</v>
      </c>
      <c r="I277" t="s">
        <v>188</v>
      </c>
      <c r="J277" s="12">
        <v>215</v>
      </c>
      <c r="K277" s="12">
        <v>30</v>
      </c>
      <c r="L277" s="12">
        <v>0</v>
      </c>
      <c r="M277" s="12">
        <v>9</v>
      </c>
      <c r="N277" s="12"/>
      <c r="O277" t="s">
        <v>1216</v>
      </c>
      <c r="P277" t="s">
        <v>1275</v>
      </c>
      <c r="Q277" t="s">
        <v>1872</v>
      </c>
    </row>
    <row r="278" spans="1:17" ht="120" customHeight="1">
      <c r="A278" t="s">
        <v>1873</v>
      </c>
      <c r="B278" t="s">
        <v>1874</v>
      </c>
      <c r="C278" t="s">
        <v>41</v>
      </c>
      <c r="D278" t="s">
        <v>1314</v>
      </c>
      <c r="E278" t="s">
        <v>1794</v>
      </c>
      <c r="F278" t="s">
        <v>1794</v>
      </c>
      <c r="G278" t="s">
        <v>1875</v>
      </c>
      <c r="H278" t="s">
        <v>1876</v>
      </c>
      <c r="I278" t="s">
        <v>188</v>
      </c>
      <c r="J278" s="12">
        <v>175</v>
      </c>
      <c r="K278" s="12">
        <v>34</v>
      </c>
      <c r="L278" s="12">
        <v>4</v>
      </c>
      <c r="M278" s="12">
        <v>2</v>
      </c>
      <c r="N278" s="12"/>
      <c r="O278" t="s">
        <v>1216</v>
      </c>
      <c r="P278" t="s">
        <v>1275</v>
      </c>
      <c r="Q278" t="s">
        <v>1877</v>
      </c>
    </row>
    <row r="279" spans="1:17" ht="120" customHeight="1">
      <c r="A279" t="s">
        <v>1878</v>
      </c>
      <c r="B279" t="s">
        <v>1879</v>
      </c>
      <c r="C279" t="s">
        <v>41</v>
      </c>
      <c r="D279" t="s">
        <v>1314</v>
      </c>
      <c r="E279" t="s">
        <v>1794</v>
      </c>
      <c r="F279" t="s">
        <v>1794</v>
      </c>
      <c r="G279" t="s">
        <v>1880</v>
      </c>
      <c r="H279" t="s">
        <v>1881</v>
      </c>
      <c r="I279" t="s">
        <v>188</v>
      </c>
      <c r="J279" s="12">
        <v>190</v>
      </c>
      <c r="K279" s="12">
        <v>35</v>
      </c>
      <c r="L279" s="12">
        <v>5</v>
      </c>
      <c r="M279" s="12">
        <v>2</v>
      </c>
      <c r="N279" s="12"/>
      <c r="O279" t="s">
        <v>1216</v>
      </c>
      <c r="P279" t="s">
        <v>1275</v>
      </c>
      <c r="Q279" t="s">
        <v>1882</v>
      </c>
    </row>
    <row r="280" spans="1:17" ht="120" customHeight="1">
      <c r="A280" t="s">
        <v>1883</v>
      </c>
      <c r="B280" t="s">
        <v>1884</v>
      </c>
      <c r="C280" t="s">
        <v>41</v>
      </c>
      <c r="D280" t="s">
        <v>1314</v>
      </c>
      <c r="E280" t="s">
        <v>1794</v>
      </c>
      <c r="F280" t="s">
        <v>1794</v>
      </c>
      <c r="G280" t="s">
        <v>1885</v>
      </c>
      <c r="H280" t="s">
        <v>1886</v>
      </c>
      <c r="I280" t="s">
        <v>188</v>
      </c>
      <c r="J280" s="12">
        <v>225</v>
      </c>
      <c r="K280" s="12">
        <v>34</v>
      </c>
      <c r="L280" s="12">
        <v>5</v>
      </c>
      <c r="M280" s="12">
        <v>8</v>
      </c>
      <c r="N280" s="12"/>
      <c r="O280" t="s">
        <v>1216</v>
      </c>
      <c r="P280" t="s">
        <v>1275</v>
      </c>
      <c r="Q280" t="s">
        <v>1887</v>
      </c>
    </row>
    <row r="281" spans="1:17" ht="120" customHeight="1">
      <c r="A281" t="s">
        <v>1888</v>
      </c>
      <c r="B281" t="s">
        <v>1889</v>
      </c>
      <c r="C281" t="s">
        <v>41</v>
      </c>
      <c r="D281" t="s">
        <v>1890</v>
      </c>
      <c r="E281" t="s">
        <v>245</v>
      </c>
      <c r="F281" t="s">
        <v>22</v>
      </c>
      <c r="G281" t="s">
        <v>1891</v>
      </c>
      <c r="H281" t="s">
        <v>1892</v>
      </c>
      <c r="I281" t="s">
        <v>188</v>
      </c>
      <c r="J281" s="12">
        <v>220</v>
      </c>
      <c r="K281" s="12">
        <v>12</v>
      </c>
      <c r="L281" s="12">
        <v>7</v>
      </c>
      <c r="M281" s="12">
        <v>16</v>
      </c>
      <c r="N281" s="12">
        <v>2</v>
      </c>
      <c r="O281" t="s">
        <v>1216</v>
      </c>
      <c r="P281" t="s">
        <v>1275</v>
      </c>
      <c r="Q281" t="s">
        <v>1893</v>
      </c>
    </row>
    <row r="282" spans="1:17" ht="120" customHeight="1">
      <c r="A282" t="s">
        <v>1894</v>
      </c>
      <c r="B282" t="s">
        <v>1895</v>
      </c>
      <c r="C282" t="s">
        <v>41</v>
      </c>
      <c r="D282" t="s">
        <v>1573</v>
      </c>
      <c r="E282" t="s">
        <v>214</v>
      </c>
      <c r="F282" t="s">
        <v>22</v>
      </c>
      <c r="G282" t="s">
        <v>1896</v>
      </c>
      <c r="H282" t="s">
        <v>1897</v>
      </c>
      <c r="I282" t="s">
        <v>188</v>
      </c>
      <c r="J282" s="12">
        <v>115</v>
      </c>
      <c r="K282" s="12">
        <v>3</v>
      </c>
      <c r="L282" s="12">
        <v>13</v>
      </c>
      <c r="M282" s="12">
        <v>6</v>
      </c>
      <c r="N282" s="12">
        <v>4</v>
      </c>
      <c r="O282" t="s">
        <v>1216</v>
      </c>
      <c r="P282" t="s">
        <v>1275</v>
      </c>
      <c r="Q282" t="s">
        <v>1898</v>
      </c>
    </row>
    <row r="283" spans="1:17" ht="120" customHeight="1">
      <c r="A283" t="s">
        <v>1899</v>
      </c>
      <c r="B283" t="s">
        <v>1900</v>
      </c>
      <c r="C283" t="s">
        <v>41</v>
      </c>
      <c r="D283" t="s">
        <v>1552</v>
      </c>
      <c r="E283" t="s">
        <v>245</v>
      </c>
      <c r="F283" t="s">
        <v>22</v>
      </c>
      <c r="G283" t="s">
        <v>1901</v>
      </c>
      <c r="H283" t="s">
        <v>1902</v>
      </c>
      <c r="I283" t="s">
        <v>188</v>
      </c>
      <c r="J283" s="12">
        <v>150</v>
      </c>
      <c r="K283" s="12">
        <v>3</v>
      </c>
      <c r="L283" s="12">
        <v>14</v>
      </c>
      <c r="M283" s="12">
        <v>11</v>
      </c>
      <c r="N283" s="12">
        <v>7</v>
      </c>
      <c r="O283" t="s">
        <v>1216</v>
      </c>
      <c r="P283" t="s">
        <v>1275</v>
      </c>
      <c r="Q283" t="s">
        <v>1903</v>
      </c>
    </row>
    <row r="284" spans="1:17" ht="120" customHeight="1">
      <c r="A284" t="s">
        <v>1904</v>
      </c>
      <c r="B284" t="s">
        <v>1905</v>
      </c>
      <c r="C284" t="s">
        <v>41</v>
      </c>
      <c r="D284" t="s">
        <v>1573</v>
      </c>
      <c r="E284" t="s">
        <v>214</v>
      </c>
      <c r="F284" t="s">
        <v>22</v>
      </c>
      <c r="G284" t="s">
        <v>1906</v>
      </c>
      <c r="H284" t="s">
        <v>1907</v>
      </c>
      <c r="I284" t="s">
        <v>188</v>
      </c>
      <c r="J284" s="12">
        <v>90</v>
      </c>
      <c r="K284" s="12">
        <v>3</v>
      </c>
      <c r="L284" s="12">
        <v>9</v>
      </c>
      <c r="M284" s="12">
        <v>5</v>
      </c>
      <c r="N284" s="12">
        <v>3</v>
      </c>
      <c r="O284" t="s">
        <v>1216</v>
      </c>
      <c r="P284" t="s">
        <v>1275</v>
      </c>
      <c r="Q284" t="s">
        <v>1908</v>
      </c>
    </row>
    <row r="285" spans="1:17" ht="120" customHeight="1">
      <c r="A285" t="s">
        <v>1909</v>
      </c>
      <c r="B285" t="s">
        <v>1910</v>
      </c>
      <c r="C285" t="s">
        <v>41</v>
      </c>
      <c r="D285" t="s">
        <v>1619</v>
      </c>
      <c r="E285" t="s">
        <v>74</v>
      </c>
      <c r="F285" t="s">
        <v>22</v>
      </c>
      <c r="G285" t="s">
        <v>1911</v>
      </c>
      <c r="H285" t="s">
        <v>1912</v>
      </c>
      <c r="I285" t="s">
        <v>188</v>
      </c>
      <c r="J285" s="12">
        <v>225</v>
      </c>
      <c r="K285" s="12">
        <v>9</v>
      </c>
      <c r="L285" s="12">
        <v>34</v>
      </c>
      <c r="M285" s="12">
        <v>7</v>
      </c>
      <c r="N285" s="12">
        <v>9</v>
      </c>
      <c r="O285" t="s">
        <v>1216</v>
      </c>
      <c r="P285" t="s">
        <v>1275</v>
      </c>
      <c r="Q285" t="s">
        <v>1913</v>
      </c>
    </row>
    <row r="286" spans="1:17" ht="120" customHeight="1">
      <c r="A286" t="s">
        <v>1914</v>
      </c>
      <c r="B286" t="s">
        <v>1915</v>
      </c>
      <c r="C286" t="s">
        <v>41</v>
      </c>
      <c r="D286" t="s">
        <v>1541</v>
      </c>
      <c r="E286" t="s">
        <v>245</v>
      </c>
      <c r="F286" t="s">
        <v>22</v>
      </c>
      <c r="G286" t="s">
        <v>1916</v>
      </c>
      <c r="H286" t="s">
        <v>1917</v>
      </c>
      <c r="I286" t="s">
        <v>188</v>
      </c>
      <c r="J286" s="12">
        <v>225</v>
      </c>
      <c r="K286" s="12">
        <v>7</v>
      </c>
      <c r="L286" s="12">
        <v>22</v>
      </c>
      <c r="M286" s="12">
        <v>14</v>
      </c>
      <c r="N286" s="12">
        <v>5</v>
      </c>
      <c r="O286" t="s">
        <v>1216</v>
      </c>
      <c r="P286" t="s">
        <v>1275</v>
      </c>
      <c r="Q286" t="s">
        <v>1918</v>
      </c>
    </row>
    <row r="287" spans="1:17" ht="120" customHeight="1">
      <c r="A287" t="s">
        <v>1919</v>
      </c>
      <c r="B287" t="s">
        <v>1920</v>
      </c>
      <c r="C287" t="s">
        <v>41</v>
      </c>
      <c r="D287" t="s">
        <v>1619</v>
      </c>
      <c r="E287" t="s">
        <v>74</v>
      </c>
      <c r="F287" t="s">
        <v>22</v>
      </c>
      <c r="G287" t="s">
        <v>1921</v>
      </c>
      <c r="H287" t="s">
        <v>1922</v>
      </c>
      <c r="I287" t="s">
        <v>188</v>
      </c>
      <c r="J287" s="12">
        <v>135</v>
      </c>
      <c r="K287" s="12">
        <v>3</v>
      </c>
      <c r="L287" s="12">
        <v>23</v>
      </c>
      <c r="M287" s="12">
        <v>5</v>
      </c>
      <c r="N287" s="12">
        <v>6</v>
      </c>
      <c r="O287" t="s">
        <v>1216</v>
      </c>
      <c r="P287" t="s">
        <v>1275</v>
      </c>
      <c r="Q287" t="s">
        <v>1923</v>
      </c>
    </row>
    <row r="288" spans="1:17" ht="120" customHeight="1">
      <c r="A288" t="s">
        <v>1924</v>
      </c>
      <c r="B288" t="s">
        <v>1925</v>
      </c>
      <c r="C288" t="s">
        <v>41</v>
      </c>
      <c r="D288" t="s">
        <v>1573</v>
      </c>
      <c r="E288" t="s">
        <v>245</v>
      </c>
      <c r="F288" t="s">
        <v>22</v>
      </c>
      <c r="G288" t="s">
        <v>1926</v>
      </c>
      <c r="H288" t="s">
        <v>1927</v>
      </c>
      <c r="I288" t="s">
        <v>188</v>
      </c>
      <c r="J288" s="12">
        <v>125</v>
      </c>
      <c r="K288" s="12">
        <v>3</v>
      </c>
      <c r="L288" s="12">
        <v>10</v>
      </c>
      <c r="M288" s="12">
        <v>9</v>
      </c>
      <c r="N288" s="12">
        <v>4</v>
      </c>
      <c r="O288" t="s">
        <v>1216</v>
      </c>
      <c r="P288" t="s">
        <v>1275</v>
      </c>
      <c r="Q288" t="s">
        <v>1928</v>
      </c>
    </row>
    <row r="289" spans="1:17" ht="120" customHeight="1">
      <c r="A289" t="s">
        <v>1929</v>
      </c>
      <c r="B289" t="s">
        <v>1930</v>
      </c>
      <c r="C289" t="s">
        <v>41</v>
      </c>
      <c r="D289" t="s">
        <v>1619</v>
      </c>
      <c r="E289" t="s">
        <v>74</v>
      </c>
      <c r="F289" t="s">
        <v>22</v>
      </c>
      <c r="G289" t="s">
        <v>1931</v>
      </c>
      <c r="H289" t="s">
        <v>1932</v>
      </c>
      <c r="I289" t="s">
        <v>188</v>
      </c>
      <c r="J289" s="12">
        <v>200</v>
      </c>
      <c r="K289" s="12">
        <v>6</v>
      </c>
      <c r="L289" s="12">
        <v>29</v>
      </c>
      <c r="M289" s="12">
        <v>7</v>
      </c>
      <c r="N289" s="12">
        <v>5</v>
      </c>
      <c r="O289" t="s">
        <v>1216</v>
      </c>
      <c r="P289" t="s">
        <v>1275</v>
      </c>
      <c r="Q289" t="s">
        <v>1933</v>
      </c>
    </row>
    <row r="290" spans="1:17" ht="120" customHeight="1">
      <c r="A290" t="s">
        <v>1934</v>
      </c>
      <c r="B290" t="s">
        <v>1935</v>
      </c>
      <c r="C290" t="s">
        <v>41</v>
      </c>
      <c r="D290" t="s">
        <v>1619</v>
      </c>
      <c r="E290" t="s">
        <v>245</v>
      </c>
      <c r="F290" t="s">
        <v>22</v>
      </c>
      <c r="G290" t="s">
        <v>1936</v>
      </c>
      <c r="H290" t="s">
        <v>1937</v>
      </c>
      <c r="I290" t="s">
        <v>188</v>
      </c>
      <c r="J290" s="12">
        <v>170</v>
      </c>
      <c r="K290" s="12">
        <v>5</v>
      </c>
      <c r="L290" s="12">
        <v>19</v>
      </c>
      <c r="M290" s="12">
        <v>10</v>
      </c>
      <c r="N290" s="12">
        <v>5</v>
      </c>
      <c r="O290" t="s">
        <v>1216</v>
      </c>
      <c r="P290" t="s">
        <v>1275</v>
      </c>
      <c r="Q290" t="s">
        <v>1938</v>
      </c>
    </row>
    <row r="291" spans="1:17" ht="120" customHeight="1">
      <c r="A291" t="s">
        <v>1939</v>
      </c>
      <c r="B291" t="s">
        <v>1940</v>
      </c>
      <c r="C291" t="s">
        <v>41</v>
      </c>
      <c r="D291" t="s">
        <v>1941</v>
      </c>
      <c r="E291" t="s">
        <v>245</v>
      </c>
      <c r="F291" t="s">
        <v>22</v>
      </c>
      <c r="G291" t="s">
        <v>1942</v>
      </c>
      <c r="H291" t="s">
        <v>1943</v>
      </c>
      <c r="I291" t="s">
        <v>188</v>
      </c>
      <c r="J291" s="12">
        <v>170</v>
      </c>
      <c r="K291" s="12">
        <v>3</v>
      </c>
      <c r="L291" s="12">
        <v>19</v>
      </c>
      <c r="M291" s="12">
        <v>10</v>
      </c>
      <c r="N291" s="12">
        <v>4</v>
      </c>
      <c r="O291" t="s">
        <v>1216</v>
      </c>
      <c r="P291" t="s">
        <v>1275</v>
      </c>
      <c r="Q291" t="s">
        <v>1944</v>
      </c>
    </row>
    <row r="292" spans="1:17" ht="120" customHeight="1">
      <c r="A292" t="s">
        <v>1945</v>
      </c>
      <c r="B292" t="s">
        <v>1946</v>
      </c>
      <c r="C292" t="s">
        <v>41</v>
      </c>
      <c r="D292" t="s">
        <v>1619</v>
      </c>
      <c r="E292" t="s">
        <v>214</v>
      </c>
      <c r="F292" t="s">
        <v>22</v>
      </c>
      <c r="G292" t="s">
        <v>1947</v>
      </c>
      <c r="H292" t="s">
        <v>1948</v>
      </c>
      <c r="I292" t="s">
        <v>188</v>
      </c>
      <c r="J292" s="12">
        <v>130</v>
      </c>
      <c r="K292" s="12">
        <v>2</v>
      </c>
      <c r="L292" s="12">
        <v>21</v>
      </c>
      <c r="M292" s="12">
        <v>5</v>
      </c>
      <c r="N292" s="12">
        <v>5</v>
      </c>
      <c r="O292" t="s">
        <v>1216</v>
      </c>
      <c r="P292" t="s">
        <v>1275</v>
      </c>
      <c r="Q292" t="s">
        <v>1949</v>
      </c>
    </row>
    <row r="293" spans="1:17" ht="120" customHeight="1">
      <c r="A293" t="s">
        <v>1950</v>
      </c>
      <c r="B293" t="s">
        <v>1951</v>
      </c>
      <c r="C293" t="s">
        <v>41</v>
      </c>
      <c r="D293" t="s">
        <v>1619</v>
      </c>
      <c r="E293" t="s">
        <v>214</v>
      </c>
      <c r="F293" t="s">
        <v>22</v>
      </c>
      <c r="G293" t="s">
        <v>1952</v>
      </c>
      <c r="H293" t="s">
        <v>1953</v>
      </c>
      <c r="I293" t="s">
        <v>188</v>
      </c>
      <c r="J293" s="12">
        <v>185</v>
      </c>
      <c r="K293" s="12">
        <v>3</v>
      </c>
      <c r="L293" s="12">
        <v>24</v>
      </c>
      <c r="M293" s="12">
        <v>10</v>
      </c>
      <c r="N293" s="12">
        <v>6</v>
      </c>
      <c r="O293" t="s">
        <v>1216</v>
      </c>
      <c r="P293" t="s">
        <v>1275</v>
      </c>
      <c r="Q293" t="s">
        <v>1954</v>
      </c>
    </row>
    <row r="294" spans="1:17" ht="120" customHeight="1">
      <c r="A294" t="s">
        <v>1955</v>
      </c>
      <c r="B294" t="s">
        <v>1956</v>
      </c>
      <c r="C294" t="s">
        <v>41</v>
      </c>
      <c r="D294" t="s">
        <v>1890</v>
      </c>
      <c r="E294" t="s">
        <v>245</v>
      </c>
      <c r="F294" t="s">
        <v>22</v>
      </c>
      <c r="G294" t="s">
        <v>1957</v>
      </c>
      <c r="H294" t="s">
        <v>1958</v>
      </c>
      <c r="I294" t="s">
        <v>188</v>
      </c>
      <c r="J294" s="12">
        <v>220</v>
      </c>
      <c r="K294" s="12">
        <v>10</v>
      </c>
      <c r="L294" s="12">
        <v>18</v>
      </c>
      <c r="M294" s="12">
        <v>13</v>
      </c>
      <c r="N294" s="12">
        <v>4</v>
      </c>
      <c r="O294" t="s">
        <v>1216</v>
      </c>
      <c r="P294" t="s">
        <v>1275</v>
      </c>
      <c r="Q294" t="s">
        <v>1959</v>
      </c>
    </row>
    <row r="295" spans="1:17" ht="120" customHeight="1">
      <c r="A295" t="s">
        <v>1960</v>
      </c>
      <c r="B295" t="s">
        <v>1961</v>
      </c>
      <c r="C295" t="s">
        <v>41</v>
      </c>
      <c r="D295" t="s">
        <v>1619</v>
      </c>
      <c r="E295" t="s">
        <v>245</v>
      </c>
      <c r="F295" t="s">
        <v>22</v>
      </c>
      <c r="G295" t="s">
        <v>1962</v>
      </c>
      <c r="H295" t="s">
        <v>1963</v>
      </c>
      <c r="I295" t="s">
        <v>188</v>
      </c>
      <c r="J295" s="12">
        <v>145</v>
      </c>
      <c r="K295" s="12">
        <v>3</v>
      </c>
      <c r="L295" s="12">
        <v>15</v>
      </c>
      <c r="M295" s="12">
        <v>10</v>
      </c>
      <c r="N295" s="12">
        <v>7</v>
      </c>
      <c r="O295" t="s">
        <v>1216</v>
      </c>
      <c r="P295" t="s">
        <v>1275</v>
      </c>
      <c r="Q295" t="s">
        <v>1964</v>
      </c>
    </row>
    <row r="296" spans="1:17" ht="120" customHeight="1">
      <c r="A296" t="s">
        <v>1965</v>
      </c>
      <c r="B296" t="s">
        <v>1966</v>
      </c>
      <c r="C296" t="s">
        <v>41</v>
      </c>
      <c r="D296" t="s">
        <v>1890</v>
      </c>
      <c r="E296" t="s">
        <v>21</v>
      </c>
      <c r="F296" t="s">
        <v>22</v>
      </c>
      <c r="G296" t="s">
        <v>1967</v>
      </c>
      <c r="H296" t="s">
        <v>1968</v>
      </c>
      <c r="I296" t="s">
        <v>77</v>
      </c>
      <c r="J296" s="12">
        <v>45</v>
      </c>
      <c r="K296" s="12">
        <v>2</v>
      </c>
      <c r="L296" s="12">
        <v>1</v>
      </c>
      <c r="M296" s="12">
        <v>4</v>
      </c>
      <c r="N296" s="12"/>
      <c r="O296" t="s">
        <v>1216</v>
      </c>
      <c r="P296" t="s">
        <v>1275</v>
      </c>
      <c r="Q296" t="s">
        <v>1969</v>
      </c>
    </row>
    <row r="297" spans="1:17" ht="120" customHeight="1">
      <c r="A297" t="s">
        <v>1970</v>
      </c>
      <c r="B297" t="s">
        <v>1971</v>
      </c>
      <c r="C297" t="s">
        <v>212</v>
      </c>
      <c r="D297" t="s">
        <v>1279</v>
      </c>
      <c r="E297" t="s">
        <v>278</v>
      </c>
      <c r="F297" t="s">
        <v>22</v>
      </c>
      <c r="G297" t="s">
        <v>1972</v>
      </c>
      <c r="H297" t="s">
        <v>1973</v>
      </c>
      <c r="I297" t="s">
        <v>188</v>
      </c>
      <c r="J297" s="12">
        <v>280</v>
      </c>
      <c r="K297" s="12">
        <v>31</v>
      </c>
      <c r="L297" s="12">
        <v>35</v>
      </c>
      <c r="M297" s="12">
        <v>3</v>
      </c>
      <c r="N297" s="12">
        <v>2</v>
      </c>
      <c r="O297" t="s">
        <v>1216</v>
      </c>
      <c r="P297" t="s">
        <v>1974</v>
      </c>
      <c r="Q297" t="s">
        <v>1975</v>
      </c>
    </row>
    <row r="298" spans="1:17" ht="120" customHeight="1">
      <c r="A298" t="s">
        <v>1976</v>
      </c>
      <c r="B298" t="s">
        <v>1977</v>
      </c>
      <c r="C298" t="s">
        <v>212</v>
      </c>
      <c r="D298" t="s">
        <v>1221</v>
      </c>
      <c r="E298" t="s">
        <v>278</v>
      </c>
      <c r="F298" t="s">
        <v>22</v>
      </c>
      <c r="G298" t="s">
        <v>1978</v>
      </c>
      <c r="H298" t="s">
        <v>1979</v>
      </c>
      <c r="I298" t="s">
        <v>188</v>
      </c>
      <c r="J298" s="12">
        <v>300</v>
      </c>
      <c r="K298" s="12">
        <v>32</v>
      </c>
      <c r="L298" s="12">
        <v>36</v>
      </c>
      <c r="M298" s="12">
        <v>4</v>
      </c>
      <c r="N298" s="12">
        <v>5</v>
      </c>
      <c r="O298" t="s">
        <v>1216</v>
      </c>
      <c r="P298" t="s">
        <v>1275</v>
      </c>
      <c r="Q298" t="s">
        <v>1980</v>
      </c>
    </row>
    <row r="299" spans="1:17" ht="120" customHeight="1">
      <c r="A299" t="s">
        <v>1981</v>
      </c>
      <c r="B299" t="s">
        <v>1982</v>
      </c>
      <c r="C299" t="s">
        <v>212</v>
      </c>
      <c r="D299" t="s">
        <v>1279</v>
      </c>
      <c r="E299" t="s">
        <v>278</v>
      </c>
      <c r="F299" t="s">
        <v>22</v>
      </c>
      <c r="G299" t="s">
        <v>1983</v>
      </c>
      <c r="H299" t="s">
        <v>1984</v>
      </c>
      <c r="I299" t="s">
        <v>188</v>
      </c>
      <c r="J299" s="12">
        <v>265</v>
      </c>
      <c r="K299" s="12">
        <v>30</v>
      </c>
      <c r="L299" s="12">
        <v>30</v>
      </c>
      <c r="M299" s="12">
        <v>4</v>
      </c>
      <c r="N299" s="12"/>
      <c r="O299" t="s">
        <v>1216</v>
      </c>
      <c r="P299" t="s">
        <v>1985</v>
      </c>
      <c r="Q299" t="s">
        <v>1986</v>
      </c>
    </row>
    <row r="300" spans="1:17" ht="120" customHeight="1">
      <c r="A300" t="s">
        <v>1987</v>
      </c>
      <c r="B300" t="s">
        <v>1988</v>
      </c>
      <c r="C300" t="s">
        <v>212</v>
      </c>
      <c r="D300" t="s">
        <v>1314</v>
      </c>
      <c r="E300" t="s">
        <v>278</v>
      </c>
      <c r="F300" t="s">
        <v>22</v>
      </c>
      <c r="G300" t="s">
        <v>1989</v>
      </c>
      <c r="H300" t="s">
        <v>1990</v>
      </c>
      <c r="I300" t="s">
        <v>188</v>
      </c>
      <c r="J300" s="12">
        <v>285</v>
      </c>
      <c r="K300" s="12">
        <v>30</v>
      </c>
      <c r="L300" s="12">
        <v>29</v>
      </c>
      <c r="M300" s="12">
        <v>7</v>
      </c>
      <c r="N300" s="12">
        <v>3</v>
      </c>
      <c r="O300" t="s">
        <v>1216</v>
      </c>
      <c r="P300" t="s">
        <v>1275</v>
      </c>
      <c r="Q300" t="s">
        <v>1991</v>
      </c>
    </row>
    <row r="301" spans="1:17" ht="120" customHeight="1">
      <c r="A301" t="s">
        <v>1992</v>
      </c>
      <c r="B301" t="s">
        <v>1993</v>
      </c>
      <c r="C301" t="s">
        <v>212</v>
      </c>
      <c r="D301" t="s">
        <v>1509</v>
      </c>
      <c r="E301" t="s">
        <v>787</v>
      </c>
      <c r="F301" t="s">
        <v>22</v>
      </c>
      <c r="G301" t="s">
        <v>1994</v>
      </c>
      <c r="H301" t="s">
        <v>1995</v>
      </c>
      <c r="I301" t="s">
        <v>188</v>
      </c>
      <c r="J301" s="12">
        <v>270</v>
      </c>
      <c r="K301" s="12">
        <v>30</v>
      </c>
      <c r="L301" s="12">
        <v>33</v>
      </c>
      <c r="M301" s="12">
        <v>3</v>
      </c>
      <c r="N301" s="12">
        <v>4</v>
      </c>
      <c r="O301" t="s">
        <v>1216</v>
      </c>
      <c r="P301" t="s">
        <v>1275</v>
      </c>
      <c r="Q301" t="s">
        <v>1996</v>
      </c>
    </row>
    <row r="302" spans="1:17" ht="120" customHeight="1">
      <c r="A302" t="s">
        <v>1997</v>
      </c>
      <c r="B302" t="s">
        <v>1998</v>
      </c>
      <c r="C302" t="s">
        <v>212</v>
      </c>
      <c r="D302" t="s">
        <v>1279</v>
      </c>
      <c r="E302" t="s">
        <v>278</v>
      </c>
      <c r="F302" t="s">
        <v>22</v>
      </c>
      <c r="G302" t="s">
        <v>1999</v>
      </c>
      <c r="H302" t="s">
        <v>2000</v>
      </c>
      <c r="I302" t="s">
        <v>188</v>
      </c>
      <c r="J302" s="12">
        <v>285</v>
      </c>
      <c r="K302" s="12">
        <v>32</v>
      </c>
      <c r="L302" s="12">
        <v>32</v>
      </c>
      <c r="M302" s="12">
        <v>4</v>
      </c>
      <c r="N302" s="12">
        <v>4</v>
      </c>
      <c r="O302" t="s">
        <v>1216</v>
      </c>
      <c r="P302" t="s">
        <v>1275</v>
      </c>
      <c r="Q302" t="s">
        <v>2001</v>
      </c>
    </row>
    <row r="303" spans="1:17" ht="120" customHeight="1">
      <c r="A303" t="s">
        <v>2002</v>
      </c>
      <c r="B303" t="s">
        <v>2003</v>
      </c>
      <c r="C303" t="s">
        <v>212</v>
      </c>
      <c r="D303" t="s">
        <v>1279</v>
      </c>
      <c r="E303" t="s">
        <v>278</v>
      </c>
      <c r="F303" t="s">
        <v>22</v>
      </c>
      <c r="G303" t="s">
        <v>2004</v>
      </c>
      <c r="H303" t="s">
        <v>2005</v>
      </c>
      <c r="I303" t="s">
        <v>188</v>
      </c>
      <c r="J303" s="12">
        <v>245</v>
      </c>
      <c r="K303" s="12">
        <v>30</v>
      </c>
      <c r="L303" s="12">
        <v>25</v>
      </c>
      <c r="M303" s="12">
        <v>4</v>
      </c>
      <c r="N303" s="12"/>
      <c r="O303" t="s">
        <v>1216</v>
      </c>
      <c r="P303" t="s">
        <v>1275</v>
      </c>
      <c r="Q303" t="s">
        <v>2006</v>
      </c>
    </row>
    <row r="304" spans="1:17" ht="120" customHeight="1">
      <c r="A304" t="s">
        <v>2007</v>
      </c>
      <c r="B304" t="s">
        <v>2008</v>
      </c>
      <c r="C304" t="s">
        <v>212</v>
      </c>
      <c r="D304" t="s">
        <v>1314</v>
      </c>
      <c r="E304" t="s">
        <v>278</v>
      </c>
      <c r="F304" t="s">
        <v>22</v>
      </c>
      <c r="G304" t="s">
        <v>2009</v>
      </c>
      <c r="H304" t="s">
        <v>2010</v>
      </c>
      <c r="I304" t="s">
        <v>188</v>
      </c>
      <c r="J304" s="12">
        <v>245</v>
      </c>
      <c r="K304" s="12">
        <v>30</v>
      </c>
      <c r="L304" s="12">
        <v>24</v>
      </c>
      <c r="M304" s="12">
        <v>3</v>
      </c>
      <c r="N304" s="12">
        <v>3</v>
      </c>
      <c r="O304" t="s">
        <v>1216</v>
      </c>
      <c r="P304" t="s">
        <v>1275</v>
      </c>
      <c r="Q304" t="s">
        <v>2011</v>
      </c>
    </row>
    <row r="305" spans="1:17" ht="120" customHeight="1">
      <c r="A305" t="s">
        <v>2012</v>
      </c>
      <c r="B305" t="s">
        <v>2013</v>
      </c>
      <c r="C305" t="s">
        <v>212</v>
      </c>
      <c r="D305" t="s">
        <v>1279</v>
      </c>
      <c r="E305" t="s">
        <v>278</v>
      </c>
      <c r="F305" t="s">
        <v>22</v>
      </c>
      <c r="G305" t="s">
        <v>2014</v>
      </c>
      <c r="H305" t="s">
        <v>2015</v>
      </c>
      <c r="I305" t="s">
        <v>188</v>
      </c>
      <c r="J305" s="12">
        <v>280</v>
      </c>
      <c r="K305" s="12">
        <v>29</v>
      </c>
      <c r="L305" s="12">
        <v>34</v>
      </c>
      <c r="M305" s="12">
        <v>4</v>
      </c>
      <c r="N305" s="12"/>
      <c r="O305" t="s">
        <v>1216</v>
      </c>
      <c r="P305" t="s">
        <v>1275</v>
      </c>
      <c r="Q305" t="s">
        <v>2016</v>
      </c>
    </row>
    <row r="306" spans="1:17" ht="120" customHeight="1">
      <c r="A306" t="s">
        <v>2017</v>
      </c>
      <c r="B306" t="s">
        <v>2018</v>
      </c>
      <c r="C306" t="s">
        <v>212</v>
      </c>
      <c r="D306" t="s">
        <v>1509</v>
      </c>
      <c r="E306" t="s">
        <v>278</v>
      </c>
      <c r="F306" t="s">
        <v>22</v>
      </c>
      <c r="G306" t="s">
        <v>2019</v>
      </c>
      <c r="H306" t="s">
        <v>2020</v>
      </c>
      <c r="I306" t="s">
        <v>188</v>
      </c>
      <c r="J306" s="12">
        <v>275</v>
      </c>
      <c r="K306" s="12">
        <v>30</v>
      </c>
      <c r="L306" s="12">
        <v>35</v>
      </c>
      <c r="M306" s="12">
        <v>3</v>
      </c>
      <c r="N306" s="12">
        <v>5</v>
      </c>
      <c r="O306" t="s">
        <v>1216</v>
      </c>
      <c r="P306" t="s">
        <v>1275</v>
      </c>
      <c r="Q306" t="s">
        <v>2021</v>
      </c>
    </row>
    <row r="307" spans="1:17" ht="120" customHeight="1">
      <c r="A307" t="s">
        <v>2022</v>
      </c>
      <c r="B307" t="s">
        <v>2023</v>
      </c>
      <c r="C307" t="s">
        <v>212</v>
      </c>
      <c r="D307" t="s">
        <v>1221</v>
      </c>
      <c r="E307" t="s">
        <v>214</v>
      </c>
      <c r="F307" t="s">
        <v>22</v>
      </c>
      <c r="G307" t="s">
        <v>2024</v>
      </c>
      <c r="H307" t="s">
        <v>2025</v>
      </c>
      <c r="I307" t="s">
        <v>188</v>
      </c>
      <c r="J307" s="12">
        <v>335</v>
      </c>
      <c r="K307" s="12">
        <v>32</v>
      </c>
      <c r="L307" s="12">
        <v>42</v>
      </c>
      <c r="M307" s="12">
        <v>5</v>
      </c>
      <c r="N307" s="12">
        <v>6</v>
      </c>
      <c r="O307" t="s">
        <v>1216</v>
      </c>
      <c r="P307" t="s">
        <v>1275</v>
      </c>
      <c r="Q307" t="s">
        <v>2026</v>
      </c>
    </row>
    <row r="308" spans="1:17" ht="120" customHeight="1">
      <c r="A308" t="s">
        <v>2027</v>
      </c>
      <c r="B308" t="s">
        <v>2028</v>
      </c>
      <c r="C308" t="s">
        <v>212</v>
      </c>
      <c r="D308" t="s">
        <v>1221</v>
      </c>
      <c r="E308" t="s">
        <v>214</v>
      </c>
      <c r="F308" t="s">
        <v>22</v>
      </c>
      <c r="G308" t="s">
        <v>2029</v>
      </c>
      <c r="H308" t="s">
        <v>2030</v>
      </c>
      <c r="I308" t="s">
        <v>188</v>
      </c>
      <c r="J308" s="12">
        <v>350</v>
      </c>
      <c r="K308" s="12">
        <v>34</v>
      </c>
      <c r="L308" s="12">
        <v>32</v>
      </c>
      <c r="M308" s="12">
        <v>11</v>
      </c>
      <c r="N308" s="12">
        <v>5</v>
      </c>
      <c r="O308" t="s">
        <v>1216</v>
      </c>
      <c r="P308" t="s">
        <v>1275</v>
      </c>
      <c r="Q308" t="s">
        <v>2031</v>
      </c>
    </row>
    <row r="309" spans="1:17" ht="120" customHeight="1">
      <c r="A309" t="s">
        <v>2032</v>
      </c>
      <c r="B309" t="s">
        <v>2033</v>
      </c>
      <c r="C309" t="s">
        <v>212</v>
      </c>
      <c r="D309" t="s">
        <v>1260</v>
      </c>
      <c r="E309" t="s">
        <v>74</v>
      </c>
      <c r="F309" t="s">
        <v>22</v>
      </c>
      <c r="G309" t="s">
        <v>2034</v>
      </c>
      <c r="H309" t="s">
        <v>2035</v>
      </c>
      <c r="I309" t="s">
        <v>188</v>
      </c>
      <c r="J309" s="12">
        <v>280</v>
      </c>
      <c r="K309" s="12">
        <v>10</v>
      </c>
      <c r="L309" s="12">
        <v>45</v>
      </c>
      <c r="M309" s="12">
        <v>8</v>
      </c>
      <c r="N309" s="12">
        <v>9</v>
      </c>
      <c r="O309" t="s">
        <v>1216</v>
      </c>
      <c r="P309" t="s">
        <v>1275</v>
      </c>
      <c r="Q309" t="s">
        <v>2036</v>
      </c>
    </row>
    <row r="310" spans="1:17" ht="120" customHeight="1">
      <c r="A310" t="s">
        <v>2037</v>
      </c>
      <c r="B310" t="s">
        <v>2038</v>
      </c>
      <c r="C310" t="s">
        <v>212</v>
      </c>
      <c r="D310" t="s">
        <v>1279</v>
      </c>
      <c r="E310" t="s">
        <v>214</v>
      </c>
      <c r="F310" t="s">
        <v>22</v>
      </c>
      <c r="G310" t="s">
        <v>2039</v>
      </c>
      <c r="H310" t="s">
        <v>2040</v>
      </c>
      <c r="I310" t="s">
        <v>188</v>
      </c>
      <c r="J310" s="12">
        <v>330</v>
      </c>
      <c r="K310" s="12">
        <v>32</v>
      </c>
      <c r="L310" s="12">
        <v>30</v>
      </c>
      <c r="M310" s="12">
        <v>10</v>
      </c>
      <c r="N310" s="12">
        <v>5</v>
      </c>
      <c r="O310" t="s">
        <v>1216</v>
      </c>
      <c r="P310" t="s">
        <v>1275</v>
      </c>
      <c r="Q310" t="s">
        <v>2041</v>
      </c>
    </row>
    <row r="311" spans="1:17" ht="120" customHeight="1">
      <c r="A311" t="s">
        <v>2042</v>
      </c>
      <c r="B311" t="s">
        <v>2043</v>
      </c>
      <c r="C311" t="s">
        <v>212</v>
      </c>
      <c r="D311" t="s">
        <v>1890</v>
      </c>
      <c r="E311" t="s">
        <v>652</v>
      </c>
      <c r="F311" t="s">
        <v>22</v>
      </c>
      <c r="G311" t="s">
        <v>2044</v>
      </c>
      <c r="H311" t="s">
        <v>2045</v>
      </c>
      <c r="I311" t="s">
        <v>188</v>
      </c>
      <c r="J311" s="12">
        <v>230</v>
      </c>
      <c r="K311" s="12">
        <v>9</v>
      </c>
      <c r="L311" s="12">
        <v>39</v>
      </c>
      <c r="M311" s="12">
        <v>4</v>
      </c>
      <c r="N311" s="12">
        <v>2</v>
      </c>
      <c r="O311" t="s">
        <v>1216</v>
      </c>
      <c r="P311" t="s">
        <v>1275</v>
      </c>
      <c r="Q311" t="s">
        <v>2046</v>
      </c>
    </row>
    <row r="312" spans="1:17" ht="120" customHeight="1">
      <c r="A312" t="s">
        <v>2047</v>
      </c>
      <c r="B312" t="s">
        <v>2048</v>
      </c>
      <c r="C312" t="s">
        <v>212</v>
      </c>
      <c r="D312" t="s">
        <v>1260</v>
      </c>
      <c r="E312" t="s">
        <v>74</v>
      </c>
      <c r="F312" t="s">
        <v>22</v>
      </c>
      <c r="G312" t="s">
        <v>2049</v>
      </c>
      <c r="H312" t="s">
        <v>2050</v>
      </c>
      <c r="I312" t="s">
        <v>188</v>
      </c>
      <c r="J312" s="12">
        <v>255</v>
      </c>
      <c r="K312" s="12">
        <v>9</v>
      </c>
      <c r="L312" s="12">
        <v>45</v>
      </c>
      <c r="M312" s="12">
        <v>5</v>
      </c>
      <c r="N312" s="12">
        <v>5</v>
      </c>
      <c r="O312" t="s">
        <v>1216</v>
      </c>
      <c r="P312" t="s">
        <v>1275</v>
      </c>
      <c r="Q312" t="s">
        <v>2051</v>
      </c>
    </row>
    <row r="313" spans="1:17" ht="120" customHeight="1">
      <c r="A313" t="s">
        <v>2052</v>
      </c>
      <c r="B313" t="s">
        <v>2053</v>
      </c>
      <c r="C313" t="s">
        <v>212</v>
      </c>
      <c r="D313" t="s">
        <v>1205</v>
      </c>
      <c r="E313" t="s">
        <v>214</v>
      </c>
      <c r="F313" t="s">
        <v>22</v>
      </c>
      <c r="G313" t="s">
        <v>2054</v>
      </c>
      <c r="H313" t="s">
        <v>2055</v>
      </c>
      <c r="I313" t="s">
        <v>188</v>
      </c>
      <c r="J313" s="12">
        <v>335</v>
      </c>
      <c r="K313" s="12">
        <v>32</v>
      </c>
      <c r="L313" s="12">
        <v>39</v>
      </c>
      <c r="M313" s="12">
        <v>5</v>
      </c>
      <c r="N313" s="12"/>
      <c r="O313" t="s">
        <v>1216</v>
      </c>
      <c r="P313" t="s">
        <v>1275</v>
      </c>
      <c r="Q313" t="s">
        <v>2056</v>
      </c>
    </row>
    <row r="314" spans="1:17" ht="120" customHeight="1">
      <c r="A314" t="s">
        <v>2057</v>
      </c>
      <c r="B314" t="s">
        <v>2058</v>
      </c>
      <c r="C314" t="s">
        <v>212</v>
      </c>
      <c r="D314" t="s">
        <v>1260</v>
      </c>
      <c r="E314" t="s">
        <v>74</v>
      </c>
      <c r="F314" t="s">
        <v>22</v>
      </c>
      <c r="G314" t="s">
        <v>2059</v>
      </c>
      <c r="H314" t="s">
        <v>2060</v>
      </c>
      <c r="I314" t="s">
        <v>188</v>
      </c>
      <c r="J314" s="12">
        <v>300</v>
      </c>
      <c r="K314" s="12">
        <v>10</v>
      </c>
      <c r="L314" s="12">
        <v>46</v>
      </c>
      <c r="M314" s="12">
        <v>8</v>
      </c>
      <c r="N314" s="12">
        <v>9</v>
      </c>
      <c r="O314" t="s">
        <v>1216</v>
      </c>
      <c r="P314" t="s">
        <v>1275</v>
      </c>
      <c r="Q314" t="s">
        <v>2061</v>
      </c>
    </row>
    <row r="315" spans="1:17" ht="120" customHeight="1">
      <c r="A315" t="s">
        <v>2062</v>
      </c>
      <c r="B315" t="s">
        <v>2063</v>
      </c>
      <c r="C315" t="s">
        <v>212</v>
      </c>
      <c r="D315" t="s">
        <v>1221</v>
      </c>
      <c r="E315" t="s">
        <v>214</v>
      </c>
      <c r="F315" t="s">
        <v>22</v>
      </c>
      <c r="G315" t="s">
        <v>2064</v>
      </c>
      <c r="H315" t="s">
        <v>2065</v>
      </c>
      <c r="I315" t="s">
        <v>188</v>
      </c>
      <c r="J315" s="12">
        <v>355</v>
      </c>
      <c r="K315" s="12">
        <v>34</v>
      </c>
      <c r="L315" s="12">
        <v>32</v>
      </c>
      <c r="M315" s="12">
        <v>11</v>
      </c>
      <c r="N315" s="12">
        <v>7</v>
      </c>
      <c r="O315" t="s">
        <v>1216</v>
      </c>
      <c r="P315" t="s">
        <v>1275</v>
      </c>
      <c r="Q315" t="s">
        <v>2066</v>
      </c>
    </row>
    <row r="316" spans="1:17" ht="120" customHeight="1">
      <c r="A316" t="s">
        <v>2067</v>
      </c>
      <c r="B316" t="s">
        <v>2068</v>
      </c>
      <c r="C316" t="s">
        <v>212</v>
      </c>
      <c r="D316" t="s">
        <v>1260</v>
      </c>
      <c r="E316" t="s">
        <v>214</v>
      </c>
      <c r="F316" t="s">
        <v>22</v>
      </c>
      <c r="G316" t="s">
        <v>2069</v>
      </c>
      <c r="H316" t="s">
        <v>2070</v>
      </c>
      <c r="I316" t="s">
        <v>188</v>
      </c>
      <c r="J316" s="12">
        <v>300</v>
      </c>
      <c r="K316" s="12">
        <v>10</v>
      </c>
      <c r="L316" s="12">
        <v>40</v>
      </c>
      <c r="M316" s="12">
        <v>11</v>
      </c>
      <c r="N316" s="12">
        <v>6</v>
      </c>
      <c r="O316" t="s">
        <v>1216</v>
      </c>
      <c r="P316" t="s">
        <v>1275</v>
      </c>
      <c r="Q316" t="s">
        <v>2071</v>
      </c>
    </row>
    <row r="317" spans="1:17" ht="120" customHeight="1">
      <c r="A317" t="s">
        <v>2072</v>
      </c>
      <c r="B317" t="s">
        <v>2073</v>
      </c>
      <c r="C317" t="s">
        <v>41</v>
      </c>
      <c r="D317" t="s">
        <v>1941</v>
      </c>
      <c r="E317" t="s">
        <v>74</v>
      </c>
      <c r="F317" t="s">
        <v>22</v>
      </c>
      <c r="G317" t="s">
        <v>2074</v>
      </c>
      <c r="H317" t="s">
        <v>2075</v>
      </c>
      <c r="I317" t="s">
        <v>188</v>
      </c>
      <c r="J317" s="12">
        <v>165</v>
      </c>
      <c r="K317" s="12">
        <v>3</v>
      </c>
      <c r="L317" s="12">
        <v>30</v>
      </c>
      <c r="M317" s="12">
        <v>5</v>
      </c>
      <c r="N317" s="12">
        <v>3</v>
      </c>
      <c r="O317" t="s">
        <v>1216</v>
      </c>
      <c r="P317" t="s">
        <v>1275</v>
      </c>
      <c r="Q317" t="s">
        <v>2076</v>
      </c>
    </row>
    <row r="318" spans="1:17" ht="120" customHeight="1">
      <c r="A318" t="s">
        <v>2077</v>
      </c>
      <c r="B318" t="s">
        <v>2078</v>
      </c>
      <c r="C318" t="s">
        <v>41</v>
      </c>
      <c r="D318" t="s">
        <v>1941</v>
      </c>
      <c r="E318" t="s">
        <v>1794</v>
      </c>
      <c r="F318" t="s">
        <v>1794</v>
      </c>
      <c r="G318" t="s">
        <v>2079</v>
      </c>
      <c r="H318" t="s">
        <v>2080</v>
      </c>
      <c r="I318" t="s">
        <v>188</v>
      </c>
      <c r="J318" s="12">
        <v>180</v>
      </c>
      <c r="K318" s="12">
        <v>2</v>
      </c>
      <c r="L318" s="12">
        <v>33</v>
      </c>
      <c r="M318" s="12">
        <v>5</v>
      </c>
      <c r="N318" s="12">
        <v>4</v>
      </c>
      <c r="O318" t="s">
        <v>1216</v>
      </c>
      <c r="P318" t="s">
        <v>1275</v>
      </c>
      <c r="Q318" t="s">
        <v>2081</v>
      </c>
    </row>
    <row r="319" spans="1:17" ht="120" customHeight="1">
      <c r="A319" t="s">
        <v>2082</v>
      </c>
      <c r="B319" t="s">
        <v>2083</v>
      </c>
      <c r="C319" t="s">
        <v>41</v>
      </c>
      <c r="D319" t="s">
        <v>1941</v>
      </c>
      <c r="E319" t="s">
        <v>1794</v>
      </c>
      <c r="F319" t="s">
        <v>1794</v>
      </c>
      <c r="G319" t="s">
        <v>2084</v>
      </c>
      <c r="H319" t="s">
        <v>2085</v>
      </c>
      <c r="I319" t="s">
        <v>188</v>
      </c>
      <c r="J319" s="12">
        <v>165</v>
      </c>
      <c r="K319" s="12">
        <v>3</v>
      </c>
      <c r="L319" s="12">
        <v>29</v>
      </c>
      <c r="M319" s="12">
        <v>5</v>
      </c>
      <c r="N319" s="12">
        <v>3</v>
      </c>
      <c r="O319" t="s">
        <v>1216</v>
      </c>
      <c r="P319" t="s">
        <v>1275</v>
      </c>
      <c r="Q319" t="s">
        <v>2086</v>
      </c>
    </row>
    <row r="320" spans="1:17" ht="120" customHeight="1">
      <c r="A320" t="s">
        <v>2087</v>
      </c>
      <c r="B320" t="s">
        <v>2088</v>
      </c>
      <c r="C320" t="s">
        <v>41</v>
      </c>
      <c r="D320" t="s">
        <v>1890</v>
      </c>
      <c r="E320" t="s">
        <v>1794</v>
      </c>
      <c r="F320" t="s">
        <v>1794</v>
      </c>
      <c r="G320" t="s">
        <v>2089</v>
      </c>
      <c r="H320" t="s">
        <v>2090</v>
      </c>
      <c r="I320" t="s">
        <v>188</v>
      </c>
      <c r="J320" s="12">
        <v>175</v>
      </c>
      <c r="K320" s="12">
        <v>5</v>
      </c>
      <c r="L320" s="12">
        <v>24</v>
      </c>
      <c r="M320" s="12">
        <v>7</v>
      </c>
      <c r="N320" s="12">
        <v>2</v>
      </c>
      <c r="O320" t="s">
        <v>1216</v>
      </c>
      <c r="P320" t="s">
        <v>1275</v>
      </c>
      <c r="Q320" t="s">
        <v>2091</v>
      </c>
    </row>
    <row r="321" spans="1:17" ht="120" customHeight="1">
      <c r="A321" t="s">
        <v>2092</v>
      </c>
      <c r="B321" t="s">
        <v>2093</v>
      </c>
      <c r="C321" t="s">
        <v>41</v>
      </c>
      <c r="D321" t="s">
        <v>1941</v>
      </c>
      <c r="E321" t="s">
        <v>1794</v>
      </c>
      <c r="F321" t="s">
        <v>1794</v>
      </c>
      <c r="G321" t="s">
        <v>2094</v>
      </c>
      <c r="H321" t="s">
        <v>2095</v>
      </c>
      <c r="I321" t="s">
        <v>188</v>
      </c>
      <c r="J321" s="12">
        <v>215</v>
      </c>
      <c r="K321" s="12">
        <v>4</v>
      </c>
      <c r="L321" s="12">
        <v>37</v>
      </c>
      <c r="M321" s="12">
        <v>6</v>
      </c>
      <c r="N321" s="12">
        <v>3</v>
      </c>
      <c r="O321" t="s">
        <v>1216</v>
      </c>
      <c r="P321" t="s">
        <v>1275</v>
      </c>
      <c r="Q321" t="s">
        <v>2096</v>
      </c>
    </row>
    <row r="322" spans="1:17" ht="120" customHeight="1">
      <c r="A322" t="s">
        <v>2097</v>
      </c>
      <c r="B322" t="s">
        <v>2098</v>
      </c>
      <c r="C322" t="s">
        <v>41</v>
      </c>
      <c r="D322" t="s">
        <v>1619</v>
      </c>
      <c r="E322" t="s">
        <v>1794</v>
      </c>
      <c r="F322" t="s">
        <v>1794</v>
      </c>
      <c r="G322" t="s">
        <v>2099</v>
      </c>
      <c r="H322" t="s">
        <v>2100</v>
      </c>
      <c r="I322" t="s">
        <v>188</v>
      </c>
      <c r="J322" s="12">
        <v>190</v>
      </c>
      <c r="K322" s="12">
        <v>5</v>
      </c>
      <c r="L322" s="12">
        <v>27</v>
      </c>
      <c r="M322" s="12">
        <v>7</v>
      </c>
      <c r="N322" s="12">
        <v>5</v>
      </c>
      <c r="O322" t="s">
        <v>1216</v>
      </c>
      <c r="P322" t="s">
        <v>1275</v>
      </c>
      <c r="Q322" t="s">
        <v>2101</v>
      </c>
    </row>
    <row r="323" spans="1:17" ht="120" customHeight="1">
      <c r="A323" t="s">
        <v>2102</v>
      </c>
      <c r="B323" t="s">
        <v>2103</v>
      </c>
      <c r="C323" t="s">
        <v>41</v>
      </c>
      <c r="D323" t="s">
        <v>1941</v>
      </c>
      <c r="E323" t="s">
        <v>1794</v>
      </c>
      <c r="F323" t="s">
        <v>1794</v>
      </c>
      <c r="G323" t="s">
        <v>2104</v>
      </c>
      <c r="H323" t="s">
        <v>2105</v>
      </c>
      <c r="I323" t="s">
        <v>188</v>
      </c>
      <c r="J323" s="12">
        <v>180</v>
      </c>
      <c r="K323" s="12">
        <v>5</v>
      </c>
      <c r="L323" s="12">
        <v>25</v>
      </c>
      <c r="M323" s="12">
        <v>7</v>
      </c>
      <c r="N323" s="12">
        <v>4</v>
      </c>
      <c r="O323" t="s">
        <v>1216</v>
      </c>
      <c r="P323" t="s">
        <v>1275</v>
      </c>
      <c r="Q323" t="s">
        <v>2106</v>
      </c>
    </row>
    <row r="324" spans="1:17" ht="120" customHeight="1">
      <c r="A324" t="s">
        <v>2107</v>
      </c>
      <c r="B324" t="s">
        <v>2108</v>
      </c>
      <c r="C324" t="s">
        <v>41</v>
      </c>
      <c r="D324" t="s">
        <v>1941</v>
      </c>
      <c r="E324" t="s">
        <v>1794</v>
      </c>
      <c r="F324" t="s">
        <v>1794</v>
      </c>
      <c r="G324" t="s">
        <v>2109</v>
      </c>
      <c r="H324" t="s">
        <v>2110</v>
      </c>
      <c r="I324" t="s">
        <v>188</v>
      </c>
      <c r="J324" s="12">
        <v>160</v>
      </c>
      <c r="K324" s="12">
        <v>2</v>
      </c>
      <c r="L324" s="12">
        <v>27</v>
      </c>
      <c r="M324" s="12">
        <v>5</v>
      </c>
      <c r="N324" s="12">
        <v>3</v>
      </c>
      <c r="O324" t="s">
        <v>1216</v>
      </c>
      <c r="P324" t="s">
        <v>1275</v>
      </c>
      <c r="Q324" t="s">
        <v>2111</v>
      </c>
    </row>
    <row r="325" spans="1:17" ht="120" customHeight="1">
      <c r="A325" t="s">
        <v>2112</v>
      </c>
      <c r="B325" t="s">
        <v>2113</v>
      </c>
      <c r="C325" t="s">
        <v>41</v>
      </c>
      <c r="D325" t="s">
        <v>1941</v>
      </c>
      <c r="E325" t="s">
        <v>1794</v>
      </c>
      <c r="F325" t="s">
        <v>1794</v>
      </c>
      <c r="G325" t="s">
        <v>2114</v>
      </c>
      <c r="H325" t="s">
        <v>2115</v>
      </c>
      <c r="I325" t="s">
        <v>188</v>
      </c>
      <c r="J325" s="12">
        <v>155</v>
      </c>
      <c r="K325" s="12">
        <v>3</v>
      </c>
      <c r="L325" s="12">
        <v>25</v>
      </c>
      <c r="M325" s="12">
        <v>5</v>
      </c>
      <c r="N325" s="12">
        <v>4</v>
      </c>
      <c r="O325" t="s">
        <v>1216</v>
      </c>
      <c r="P325" t="s">
        <v>1275</v>
      </c>
      <c r="Q325" t="s">
        <v>2116</v>
      </c>
    </row>
    <row r="326" spans="1:17" ht="120" customHeight="1">
      <c r="A326" t="s">
        <v>2117</v>
      </c>
      <c r="B326" t="s">
        <v>2118</v>
      </c>
      <c r="C326" t="s">
        <v>41</v>
      </c>
      <c r="D326" t="s">
        <v>1941</v>
      </c>
      <c r="E326" t="s">
        <v>1794</v>
      </c>
      <c r="F326" t="s">
        <v>1794</v>
      </c>
      <c r="G326" t="s">
        <v>2119</v>
      </c>
      <c r="H326" t="s">
        <v>2120</v>
      </c>
      <c r="I326" t="s">
        <v>188</v>
      </c>
      <c r="J326" s="12">
        <v>210</v>
      </c>
      <c r="K326" s="12">
        <v>2</v>
      </c>
      <c r="L326" s="12">
        <v>39</v>
      </c>
      <c r="M326" s="12">
        <v>5</v>
      </c>
      <c r="N326" s="12">
        <v>4</v>
      </c>
      <c r="O326" t="s">
        <v>1216</v>
      </c>
      <c r="P326" t="s">
        <v>1275</v>
      </c>
      <c r="Q326" t="s">
        <v>2121</v>
      </c>
    </row>
    <row r="327" spans="1:17" ht="120" customHeight="1">
      <c r="A327" t="s">
        <v>2122</v>
      </c>
      <c r="B327" t="s">
        <v>2123</v>
      </c>
      <c r="C327" t="s">
        <v>41</v>
      </c>
      <c r="D327" t="s">
        <v>1619</v>
      </c>
      <c r="E327" t="s">
        <v>1794</v>
      </c>
      <c r="F327" t="s">
        <v>1794</v>
      </c>
      <c r="G327" t="s">
        <v>2124</v>
      </c>
      <c r="H327" t="s">
        <v>2125</v>
      </c>
      <c r="I327" t="s">
        <v>188</v>
      </c>
      <c r="J327" s="12">
        <v>210</v>
      </c>
      <c r="K327" s="12">
        <v>9</v>
      </c>
      <c r="L327" s="12">
        <v>28</v>
      </c>
      <c r="M327" s="12">
        <v>7</v>
      </c>
      <c r="N327" s="12">
        <v>8</v>
      </c>
      <c r="O327" t="s">
        <v>1216</v>
      </c>
      <c r="P327" t="s">
        <v>1275</v>
      </c>
      <c r="Q327" t="s">
        <v>2126</v>
      </c>
    </row>
    <row r="328" spans="1:17" ht="120" customHeight="1">
      <c r="A328" t="s">
        <v>2127</v>
      </c>
      <c r="B328" t="s">
        <v>2128</v>
      </c>
      <c r="C328" t="s">
        <v>41</v>
      </c>
      <c r="D328" t="s">
        <v>1619</v>
      </c>
      <c r="E328" t="s">
        <v>1794</v>
      </c>
      <c r="F328" t="s">
        <v>1794</v>
      </c>
      <c r="G328" t="s">
        <v>2129</v>
      </c>
      <c r="H328" t="s">
        <v>2130</v>
      </c>
      <c r="I328" t="s">
        <v>188</v>
      </c>
      <c r="J328" s="12">
        <v>195</v>
      </c>
      <c r="K328" s="12">
        <v>10</v>
      </c>
      <c r="L328" s="12">
        <v>29</v>
      </c>
      <c r="M328" s="12">
        <v>5</v>
      </c>
      <c r="N328" s="12">
        <v>9</v>
      </c>
      <c r="O328" t="s">
        <v>1216</v>
      </c>
      <c r="P328" t="s">
        <v>1275</v>
      </c>
      <c r="Q328" t="s">
        <v>2131</v>
      </c>
    </row>
    <row r="329" spans="1:17" ht="120" customHeight="1">
      <c r="A329" t="s">
        <v>2132</v>
      </c>
      <c r="B329" t="s">
        <v>2133</v>
      </c>
      <c r="C329" t="s">
        <v>41</v>
      </c>
      <c r="D329" t="s">
        <v>1619</v>
      </c>
      <c r="E329" t="s">
        <v>1794</v>
      </c>
      <c r="F329" t="s">
        <v>1794</v>
      </c>
      <c r="G329" t="s">
        <v>2134</v>
      </c>
      <c r="H329" t="s">
        <v>2135</v>
      </c>
      <c r="I329" t="s">
        <v>188</v>
      </c>
      <c r="J329" s="12">
        <v>150</v>
      </c>
      <c r="K329" s="12">
        <v>7</v>
      </c>
      <c r="L329" s="12">
        <v>20</v>
      </c>
      <c r="M329" s="12">
        <v>5</v>
      </c>
      <c r="N329" s="12">
        <v>6</v>
      </c>
      <c r="O329" t="s">
        <v>1216</v>
      </c>
      <c r="P329" t="s">
        <v>1275</v>
      </c>
      <c r="Q329" t="s">
        <v>2136</v>
      </c>
    </row>
    <row r="330" spans="1:17" ht="120" customHeight="1">
      <c r="A330" t="s">
        <v>2137</v>
      </c>
      <c r="B330" t="s">
        <v>2138</v>
      </c>
      <c r="C330" t="s">
        <v>41</v>
      </c>
      <c r="D330" t="s">
        <v>1941</v>
      </c>
      <c r="E330" t="s">
        <v>1794</v>
      </c>
      <c r="F330" t="s">
        <v>1794</v>
      </c>
      <c r="G330" t="s">
        <v>2139</v>
      </c>
      <c r="H330" t="s">
        <v>2140</v>
      </c>
      <c r="I330" t="s">
        <v>188</v>
      </c>
      <c r="J330" s="12">
        <v>115</v>
      </c>
      <c r="K330" s="12">
        <v>4</v>
      </c>
      <c r="L330" s="12">
        <v>12</v>
      </c>
      <c r="M330" s="12">
        <v>6</v>
      </c>
      <c r="N330" s="12">
        <v>4</v>
      </c>
      <c r="O330" t="s">
        <v>1216</v>
      </c>
      <c r="P330" t="s">
        <v>1275</v>
      </c>
      <c r="Q330" t="s">
        <v>2141</v>
      </c>
    </row>
    <row r="331" spans="1:17" ht="120" customHeight="1">
      <c r="A331" t="s">
        <v>2142</v>
      </c>
      <c r="B331" t="s">
        <v>2143</v>
      </c>
      <c r="C331" t="s">
        <v>41</v>
      </c>
      <c r="D331" t="s">
        <v>1941</v>
      </c>
      <c r="E331" t="s">
        <v>1794</v>
      </c>
      <c r="F331" t="s">
        <v>1794</v>
      </c>
      <c r="G331" t="s">
        <v>2144</v>
      </c>
      <c r="H331" t="s">
        <v>2145</v>
      </c>
      <c r="I331" t="s">
        <v>188</v>
      </c>
      <c r="J331" s="12">
        <v>95</v>
      </c>
      <c r="K331" s="12">
        <v>2</v>
      </c>
      <c r="L331" s="12">
        <v>10</v>
      </c>
      <c r="M331" s="12">
        <v>5</v>
      </c>
      <c r="N331" s="12">
        <v>3</v>
      </c>
      <c r="O331" t="s">
        <v>1216</v>
      </c>
      <c r="P331" t="s">
        <v>1275</v>
      </c>
      <c r="Q331" t="s">
        <v>2146</v>
      </c>
    </row>
    <row r="332" spans="1:17" ht="120" customHeight="1">
      <c r="A332" t="s">
        <v>2147</v>
      </c>
      <c r="B332" t="s">
        <v>2148</v>
      </c>
      <c r="C332" t="s">
        <v>41</v>
      </c>
      <c r="D332" t="s">
        <v>1890</v>
      </c>
      <c r="E332" t="s">
        <v>1794</v>
      </c>
      <c r="F332" t="s">
        <v>1794</v>
      </c>
      <c r="G332" t="s">
        <v>2149</v>
      </c>
      <c r="H332" t="s">
        <v>2150</v>
      </c>
      <c r="I332" t="s">
        <v>188</v>
      </c>
      <c r="J332" s="12">
        <v>170</v>
      </c>
      <c r="K332" s="12">
        <v>10</v>
      </c>
      <c r="L332" s="12">
        <v>14</v>
      </c>
      <c r="M332" s="12">
        <v>9</v>
      </c>
      <c r="N332" s="12">
        <v>4</v>
      </c>
      <c r="O332" t="s">
        <v>1216</v>
      </c>
      <c r="P332" t="s">
        <v>2151</v>
      </c>
      <c r="Q332" t="s">
        <v>2152</v>
      </c>
    </row>
    <row r="333" spans="1:17" ht="120" customHeight="1">
      <c r="A333" t="s">
        <v>2153</v>
      </c>
      <c r="B333" t="s">
        <v>2154</v>
      </c>
      <c r="C333" t="s">
        <v>41</v>
      </c>
      <c r="D333" t="s">
        <v>1941</v>
      </c>
      <c r="E333" t="s">
        <v>1794</v>
      </c>
      <c r="F333" t="s">
        <v>1794</v>
      </c>
      <c r="G333" t="s">
        <v>2155</v>
      </c>
      <c r="H333" t="s">
        <v>2156</v>
      </c>
      <c r="I333" t="s">
        <v>188</v>
      </c>
      <c r="J333" s="12">
        <v>110</v>
      </c>
      <c r="K333" s="12">
        <v>6</v>
      </c>
      <c r="L333" s="12">
        <v>9</v>
      </c>
      <c r="M333" s="12">
        <v>6</v>
      </c>
      <c r="N333" s="12">
        <v>3</v>
      </c>
      <c r="O333" t="s">
        <v>1216</v>
      </c>
      <c r="P333" t="s">
        <v>1275</v>
      </c>
      <c r="Q333" t="s">
        <v>2157</v>
      </c>
    </row>
    <row r="334" spans="1:17" ht="120" customHeight="1">
      <c r="A334" t="s">
        <v>2158</v>
      </c>
      <c r="B334" t="s">
        <v>2159</v>
      </c>
      <c r="C334" t="s">
        <v>41</v>
      </c>
      <c r="D334" t="s">
        <v>1941</v>
      </c>
      <c r="E334" t="s">
        <v>1794</v>
      </c>
      <c r="F334" t="s">
        <v>1794</v>
      </c>
      <c r="G334" t="s">
        <v>2160</v>
      </c>
      <c r="H334" t="s">
        <v>2161</v>
      </c>
      <c r="I334" t="s">
        <v>188</v>
      </c>
      <c r="J334" s="12">
        <v>175</v>
      </c>
      <c r="K334" s="12">
        <v>4</v>
      </c>
      <c r="L334" s="12">
        <v>27</v>
      </c>
      <c r="M334" s="12">
        <v>6</v>
      </c>
      <c r="N334" s="12">
        <v>4</v>
      </c>
      <c r="O334" t="s">
        <v>1216</v>
      </c>
      <c r="P334" t="s">
        <v>1275</v>
      </c>
      <c r="Q334" t="s">
        <v>2162</v>
      </c>
    </row>
    <row r="335" spans="1:17" ht="120" customHeight="1">
      <c r="A335" t="s">
        <v>2163</v>
      </c>
      <c r="B335" t="s">
        <v>2164</v>
      </c>
      <c r="C335" t="s">
        <v>41</v>
      </c>
      <c r="D335" t="s">
        <v>1941</v>
      </c>
      <c r="E335" t="s">
        <v>1794</v>
      </c>
      <c r="F335" t="s">
        <v>1794</v>
      </c>
      <c r="G335" t="s">
        <v>2165</v>
      </c>
      <c r="H335" t="s">
        <v>2166</v>
      </c>
      <c r="I335" t="s">
        <v>188</v>
      </c>
      <c r="J335" s="12">
        <v>120</v>
      </c>
      <c r="K335" s="12">
        <v>2</v>
      </c>
      <c r="L335" s="12">
        <v>18</v>
      </c>
      <c r="M335" s="12">
        <v>5</v>
      </c>
      <c r="N335" s="12">
        <v>3</v>
      </c>
      <c r="O335" t="s">
        <v>1216</v>
      </c>
      <c r="P335" t="s">
        <v>1275</v>
      </c>
      <c r="Q335" t="s">
        <v>2167</v>
      </c>
    </row>
    <row r="336" spans="1:17" ht="120" customHeight="1">
      <c r="A336" t="s">
        <v>2168</v>
      </c>
      <c r="B336" t="s">
        <v>2169</v>
      </c>
      <c r="C336" t="s">
        <v>41</v>
      </c>
      <c r="D336" t="s">
        <v>1619</v>
      </c>
      <c r="E336" t="s">
        <v>1794</v>
      </c>
      <c r="F336" t="s">
        <v>1794</v>
      </c>
      <c r="G336" t="s">
        <v>2170</v>
      </c>
      <c r="H336" t="s">
        <v>2171</v>
      </c>
      <c r="I336" t="s">
        <v>188</v>
      </c>
      <c r="J336" s="12">
        <v>160</v>
      </c>
      <c r="K336" s="12">
        <v>4</v>
      </c>
      <c r="L336" s="12">
        <v>23</v>
      </c>
      <c r="M336" s="12">
        <v>6</v>
      </c>
      <c r="N336" s="12">
        <v>7</v>
      </c>
      <c r="O336" t="s">
        <v>1216</v>
      </c>
      <c r="P336" t="s">
        <v>1275</v>
      </c>
      <c r="Q336" t="s">
        <v>2172</v>
      </c>
    </row>
    <row r="337" spans="1:17" ht="120" customHeight="1">
      <c r="A337" t="s">
        <v>2173</v>
      </c>
      <c r="B337" t="s">
        <v>2174</v>
      </c>
      <c r="C337" t="s">
        <v>2175</v>
      </c>
      <c r="D337" t="s">
        <v>1941</v>
      </c>
      <c r="E337" t="s">
        <v>21</v>
      </c>
      <c r="F337" t="s">
        <v>22</v>
      </c>
      <c r="G337" t="s">
        <v>2176</v>
      </c>
      <c r="H337" t="s">
        <v>2177</v>
      </c>
      <c r="I337" t="s">
        <v>188</v>
      </c>
      <c r="J337" s="12">
        <v>50</v>
      </c>
      <c r="K337" s="12">
        <v>1</v>
      </c>
      <c r="L337" s="12">
        <v>12</v>
      </c>
      <c r="M337" s="12">
        <v>0</v>
      </c>
      <c r="N337" s="12">
        <v>1</v>
      </c>
      <c r="O337" t="s">
        <v>1216</v>
      </c>
      <c r="P337" t="s">
        <v>1275</v>
      </c>
      <c r="Q337" t="s">
        <v>2178</v>
      </c>
    </row>
    <row r="338" spans="1:17" ht="120" customHeight="1">
      <c r="A338" t="s">
        <v>2179</v>
      </c>
      <c r="B338" t="s">
        <v>2180</v>
      </c>
      <c r="C338" t="s">
        <v>2175</v>
      </c>
      <c r="D338" t="s">
        <v>1941</v>
      </c>
      <c r="E338" t="s">
        <v>21</v>
      </c>
      <c r="F338" t="s">
        <v>22</v>
      </c>
      <c r="G338" t="s">
        <v>2181</v>
      </c>
      <c r="H338" t="s">
        <v>2182</v>
      </c>
      <c r="I338" t="s">
        <v>188</v>
      </c>
      <c r="J338" s="12">
        <v>65</v>
      </c>
      <c r="K338" s="12">
        <v>1</v>
      </c>
      <c r="L338" s="12">
        <v>15</v>
      </c>
      <c r="M338" s="12">
        <v>0</v>
      </c>
      <c r="N338" s="12">
        <v>2</v>
      </c>
      <c r="O338" t="s">
        <v>1216</v>
      </c>
      <c r="P338" t="s">
        <v>1275</v>
      </c>
      <c r="Q338" t="s">
        <v>2183</v>
      </c>
    </row>
    <row r="339" spans="1:17" ht="120" customHeight="1">
      <c r="A339" t="s">
        <v>2184</v>
      </c>
      <c r="B339" t="s">
        <v>2185</v>
      </c>
      <c r="C339" t="s">
        <v>2175</v>
      </c>
      <c r="D339" t="s">
        <v>1941</v>
      </c>
      <c r="E339" t="s">
        <v>21</v>
      </c>
      <c r="F339" t="s">
        <v>22</v>
      </c>
      <c r="G339" t="s">
        <v>2186</v>
      </c>
      <c r="H339" t="s">
        <v>2187</v>
      </c>
      <c r="I339" t="s">
        <v>188</v>
      </c>
      <c r="J339" s="12">
        <v>70</v>
      </c>
      <c r="K339" s="12">
        <v>1</v>
      </c>
      <c r="L339" s="12">
        <v>16</v>
      </c>
      <c r="M339" s="12">
        <v>0</v>
      </c>
      <c r="N339" s="12">
        <v>2</v>
      </c>
      <c r="O339" t="s">
        <v>1216</v>
      </c>
      <c r="P339" t="s">
        <v>1275</v>
      </c>
      <c r="Q339" t="s">
        <v>2188</v>
      </c>
    </row>
    <row r="340" spans="1:17" ht="120" customHeight="1">
      <c r="A340" t="s">
        <v>2189</v>
      </c>
      <c r="B340" t="s">
        <v>2190</v>
      </c>
      <c r="C340" t="s">
        <v>2175</v>
      </c>
      <c r="D340" t="s">
        <v>1941</v>
      </c>
      <c r="E340" t="s">
        <v>21</v>
      </c>
      <c r="F340" t="s">
        <v>22</v>
      </c>
      <c r="G340" t="s">
        <v>2191</v>
      </c>
      <c r="H340" t="s">
        <v>2192</v>
      </c>
      <c r="I340" t="s">
        <v>188</v>
      </c>
      <c r="J340" s="12">
        <v>35</v>
      </c>
      <c r="K340" s="12">
        <v>1</v>
      </c>
      <c r="L340" s="12">
        <v>8</v>
      </c>
      <c r="M340" s="12">
        <v>0</v>
      </c>
      <c r="N340" s="12">
        <v>1</v>
      </c>
      <c r="O340" t="s">
        <v>1216</v>
      </c>
      <c r="P340" t="s">
        <v>1275</v>
      </c>
      <c r="Q340" t="s">
        <v>2193</v>
      </c>
    </row>
    <row r="341" spans="1:17" ht="120" customHeight="1">
      <c r="A341" t="s">
        <v>2194</v>
      </c>
      <c r="B341" t="s">
        <v>2195</v>
      </c>
      <c r="C341" t="s">
        <v>2175</v>
      </c>
      <c r="D341" t="s">
        <v>1941</v>
      </c>
      <c r="E341" t="s">
        <v>21</v>
      </c>
      <c r="F341" t="s">
        <v>22</v>
      </c>
      <c r="G341" t="s">
        <v>2196</v>
      </c>
      <c r="H341" t="s">
        <v>2197</v>
      </c>
      <c r="I341" t="s">
        <v>188</v>
      </c>
      <c r="J341" s="12">
        <v>70</v>
      </c>
      <c r="K341" s="12">
        <v>2</v>
      </c>
      <c r="L341" s="12">
        <v>14</v>
      </c>
      <c r="M341" s="12">
        <v>1</v>
      </c>
      <c r="N341" s="12">
        <v>5</v>
      </c>
      <c r="O341" t="s">
        <v>1216</v>
      </c>
      <c r="P341" t="s">
        <v>1275</v>
      </c>
      <c r="Q341" t="s">
        <v>2198</v>
      </c>
    </row>
    <row r="342" spans="1:17" ht="120" customHeight="1">
      <c r="A342" t="s">
        <v>2199</v>
      </c>
      <c r="B342" t="s">
        <v>2200</v>
      </c>
      <c r="C342" t="s">
        <v>2175</v>
      </c>
      <c r="D342" t="s">
        <v>1941</v>
      </c>
      <c r="E342" t="s">
        <v>21</v>
      </c>
      <c r="F342" t="s">
        <v>22</v>
      </c>
      <c r="G342" t="s">
        <v>2201</v>
      </c>
      <c r="H342" t="s">
        <v>2202</v>
      </c>
      <c r="I342" t="s">
        <v>188</v>
      </c>
      <c r="J342" s="12">
        <v>40</v>
      </c>
      <c r="K342" s="12">
        <v>1</v>
      </c>
      <c r="L342" s="12">
        <v>10</v>
      </c>
      <c r="M342" s="12">
        <v>0</v>
      </c>
      <c r="N342" s="12">
        <v>2</v>
      </c>
      <c r="O342" t="s">
        <v>1216</v>
      </c>
      <c r="P342" t="s">
        <v>1275</v>
      </c>
      <c r="Q342" t="s">
        <v>2203</v>
      </c>
    </row>
    <row r="343" spans="1:17" ht="120" customHeight="1">
      <c r="A343" t="s">
        <v>2204</v>
      </c>
      <c r="B343" t="s">
        <v>2205</v>
      </c>
      <c r="C343" t="s">
        <v>2175</v>
      </c>
      <c r="D343" t="s">
        <v>1941</v>
      </c>
      <c r="E343" t="s">
        <v>21</v>
      </c>
      <c r="F343" t="s">
        <v>22</v>
      </c>
      <c r="G343" t="s">
        <v>2206</v>
      </c>
      <c r="H343" t="s">
        <v>2207</v>
      </c>
      <c r="I343" t="s">
        <v>188</v>
      </c>
      <c r="J343" s="12">
        <v>55</v>
      </c>
      <c r="K343" s="12">
        <v>0.5</v>
      </c>
      <c r="L343" s="12">
        <v>14</v>
      </c>
      <c r="M343" s="12">
        <v>0</v>
      </c>
      <c r="N343" s="12">
        <v>2</v>
      </c>
      <c r="O343" t="s">
        <v>1216</v>
      </c>
      <c r="P343" t="s">
        <v>1275</v>
      </c>
      <c r="Q343" t="s">
        <v>2208</v>
      </c>
    </row>
    <row r="344" spans="1:17" ht="120" customHeight="1">
      <c r="A344" t="s">
        <v>2209</v>
      </c>
      <c r="B344" t="s">
        <v>2210</v>
      </c>
      <c r="C344" t="s">
        <v>2175</v>
      </c>
      <c r="D344" t="s">
        <v>1941</v>
      </c>
      <c r="E344" t="s">
        <v>21</v>
      </c>
      <c r="F344" t="s">
        <v>22</v>
      </c>
      <c r="G344" t="s">
        <v>2211</v>
      </c>
      <c r="H344" t="s">
        <v>2212</v>
      </c>
      <c r="I344" t="s">
        <v>188</v>
      </c>
      <c r="J344" s="12">
        <v>50</v>
      </c>
      <c r="K344" s="12">
        <v>0.5</v>
      </c>
      <c r="L344" s="12">
        <v>13</v>
      </c>
      <c r="M344" s="12">
        <v>0</v>
      </c>
      <c r="N344" s="12">
        <v>1</v>
      </c>
      <c r="O344" t="s">
        <v>1216</v>
      </c>
      <c r="P344" t="s">
        <v>1275</v>
      </c>
      <c r="Q344" t="s">
        <v>2213</v>
      </c>
    </row>
    <row r="345" spans="1:17" ht="120" customHeight="1">
      <c r="A345" t="s">
        <v>2214</v>
      </c>
      <c r="B345" t="s">
        <v>2215</v>
      </c>
      <c r="C345" t="s">
        <v>2175</v>
      </c>
      <c r="D345" t="s">
        <v>1941</v>
      </c>
      <c r="E345" t="s">
        <v>21</v>
      </c>
      <c r="F345" t="s">
        <v>22</v>
      </c>
      <c r="G345" t="s">
        <v>2216</v>
      </c>
      <c r="H345" t="s">
        <v>2217</v>
      </c>
      <c r="I345" t="s">
        <v>188</v>
      </c>
      <c r="J345" s="12">
        <v>50</v>
      </c>
      <c r="K345" s="12">
        <v>1</v>
      </c>
      <c r="L345" s="12">
        <v>12</v>
      </c>
      <c r="M345" s="12">
        <v>0.5</v>
      </c>
      <c r="N345" s="12">
        <v>2</v>
      </c>
      <c r="O345" t="s">
        <v>1216</v>
      </c>
      <c r="P345" t="s">
        <v>1275</v>
      </c>
      <c r="Q345" t="s">
        <v>2218</v>
      </c>
    </row>
    <row r="346" spans="1:17" ht="120" customHeight="1">
      <c r="A346" t="s">
        <v>2219</v>
      </c>
      <c r="B346" t="s">
        <v>2220</v>
      </c>
      <c r="C346" t="s">
        <v>2175</v>
      </c>
      <c r="D346" t="s">
        <v>1941</v>
      </c>
      <c r="E346" t="s">
        <v>21</v>
      </c>
      <c r="F346" t="s">
        <v>22</v>
      </c>
      <c r="G346" t="s">
        <v>2221</v>
      </c>
      <c r="H346" t="s">
        <v>2222</v>
      </c>
      <c r="I346" t="s">
        <v>188</v>
      </c>
      <c r="J346" s="12">
        <v>50</v>
      </c>
      <c r="K346" s="12">
        <v>1</v>
      </c>
      <c r="L346" s="12">
        <v>12</v>
      </c>
      <c r="M346" s="12">
        <v>0</v>
      </c>
      <c r="N346" s="12">
        <v>1</v>
      </c>
      <c r="O346" t="s">
        <v>1216</v>
      </c>
      <c r="P346" t="s">
        <v>1275</v>
      </c>
      <c r="Q346" t="s">
        <v>2223</v>
      </c>
    </row>
    <row r="347" spans="1:17" ht="120" customHeight="1">
      <c r="A347" t="s">
        <v>2224</v>
      </c>
      <c r="B347" t="s">
        <v>2225</v>
      </c>
      <c r="C347" t="s">
        <v>2175</v>
      </c>
      <c r="D347" t="s">
        <v>1941</v>
      </c>
      <c r="E347" t="s">
        <v>21</v>
      </c>
      <c r="F347" t="s">
        <v>22</v>
      </c>
      <c r="G347" t="s">
        <v>2226</v>
      </c>
      <c r="H347" t="s">
        <v>2227</v>
      </c>
      <c r="I347" t="s">
        <v>188</v>
      </c>
      <c r="J347" s="12">
        <v>35</v>
      </c>
      <c r="K347" s="12">
        <v>1</v>
      </c>
      <c r="L347" s="12">
        <v>8</v>
      </c>
      <c r="M347" s="12">
        <v>0</v>
      </c>
      <c r="N347" s="12">
        <v>2</v>
      </c>
      <c r="O347" t="s">
        <v>1216</v>
      </c>
      <c r="P347" t="s">
        <v>1275</v>
      </c>
      <c r="Q347" t="s">
        <v>2228</v>
      </c>
    </row>
    <row r="348" spans="1:17" ht="120" customHeight="1">
      <c r="A348" t="s">
        <v>2229</v>
      </c>
      <c r="B348" t="s">
        <v>2230</v>
      </c>
      <c r="C348" t="s">
        <v>2175</v>
      </c>
      <c r="D348" t="s">
        <v>1941</v>
      </c>
      <c r="E348" t="s">
        <v>21</v>
      </c>
      <c r="F348" t="s">
        <v>22</v>
      </c>
      <c r="G348" t="s">
        <v>2231</v>
      </c>
      <c r="H348" t="s">
        <v>2232</v>
      </c>
      <c r="I348" t="s">
        <v>188</v>
      </c>
      <c r="J348" s="12">
        <v>60</v>
      </c>
      <c r="K348" s="12">
        <v>0.5</v>
      </c>
      <c r="L348" s="12">
        <v>15</v>
      </c>
      <c r="M348" s="12">
        <v>0</v>
      </c>
      <c r="N348" s="12">
        <v>3</v>
      </c>
      <c r="O348" t="s">
        <v>1216</v>
      </c>
      <c r="P348" t="s">
        <v>1275</v>
      </c>
      <c r="Q348" t="s">
        <v>2233</v>
      </c>
    </row>
    <row r="349" spans="1:17" ht="120" customHeight="1">
      <c r="A349" t="s">
        <v>2234</v>
      </c>
      <c r="B349" t="s">
        <v>2235</v>
      </c>
      <c r="C349" t="s">
        <v>2175</v>
      </c>
      <c r="D349" t="s">
        <v>1941</v>
      </c>
      <c r="E349" t="s">
        <v>21</v>
      </c>
      <c r="F349" t="s">
        <v>22</v>
      </c>
      <c r="G349" t="s">
        <v>2236</v>
      </c>
      <c r="H349" t="s">
        <v>2237</v>
      </c>
      <c r="I349" t="s">
        <v>188</v>
      </c>
      <c r="J349" s="12">
        <v>50</v>
      </c>
      <c r="K349" s="12">
        <v>1</v>
      </c>
      <c r="L349" s="12">
        <v>12</v>
      </c>
      <c r="M349" s="12">
        <v>0</v>
      </c>
      <c r="N349" s="12">
        <v>1</v>
      </c>
      <c r="O349" t="s">
        <v>1216</v>
      </c>
      <c r="P349" t="s">
        <v>1275</v>
      </c>
      <c r="Q349" t="s">
        <v>2238</v>
      </c>
    </row>
    <row r="350" spans="1:17" ht="120" customHeight="1">
      <c r="A350" t="s">
        <v>2239</v>
      </c>
      <c r="B350" t="s">
        <v>2240</v>
      </c>
      <c r="C350" t="s">
        <v>2175</v>
      </c>
      <c r="D350" t="s">
        <v>1941</v>
      </c>
      <c r="E350" t="s">
        <v>21</v>
      </c>
      <c r="F350" t="s">
        <v>22</v>
      </c>
      <c r="G350" t="s">
        <v>2241</v>
      </c>
      <c r="H350" t="s">
        <v>2242</v>
      </c>
      <c r="I350" t="s">
        <v>188</v>
      </c>
      <c r="J350" s="12">
        <v>45</v>
      </c>
      <c r="K350" s="12">
        <v>1</v>
      </c>
      <c r="L350" s="12">
        <v>10</v>
      </c>
      <c r="M350" s="12">
        <v>0</v>
      </c>
      <c r="N350" s="12">
        <v>2</v>
      </c>
      <c r="O350" t="s">
        <v>1216</v>
      </c>
      <c r="P350" t="s">
        <v>1275</v>
      </c>
      <c r="Q350" t="s">
        <v>2243</v>
      </c>
    </row>
    <row r="351" spans="1:17" ht="120" customHeight="1">
      <c r="A351" t="s">
        <v>2244</v>
      </c>
      <c r="B351" t="s">
        <v>2245</v>
      </c>
      <c r="C351" t="s">
        <v>2175</v>
      </c>
      <c r="D351" t="s">
        <v>1941</v>
      </c>
      <c r="E351" t="s">
        <v>21</v>
      </c>
      <c r="F351" t="s">
        <v>22</v>
      </c>
      <c r="G351" t="s">
        <v>2246</v>
      </c>
      <c r="H351" t="s">
        <v>2247</v>
      </c>
      <c r="I351" t="s">
        <v>188</v>
      </c>
      <c r="J351" s="12">
        <v>50</v>
      </c>
      <c r="K351" s="12">
        <v>1</v>
      </c>
      <c r="L351" s="12">
        <v>11</v>
      </c>
      <c r="M351" s="12">
        <v>0</v>
      </c>
      <c r="N351" s="12">
        <v>0.5</v>
      </c>
      <c r="O351" t="s">
        <v>1216</v>
      </c>
      <c r="P351" t="s">
        <v>1275</v>
      </c>
      <c r="Q351" t="s">
        <v>2248</v>
      </c>
    </row>
    <row r="352" spans="1:17" ht="120" customHeight="1">
      <c r="A352" t="s">
        <v>2249</v>
      </c>
      <c r="B352" t="s">
        <v>2250</v>
      </c>
      <c r="C352" t="s">
        <v>2251</v>
      </c>
      <c r="D352" t="s">
        <v>1941</v>
      </c>
      <c r="E352" t="s">
        <v>21</v>
      </c>
      <c r="F352" t="s">
        <v>1794</v>
      </c>
      <c r="G352" t="s">
        <v>2252</v>
      </c>
      <c r="H352" t="s">
        <v>2253</v>
      </c>
      <c r="I352" t="s">
        <v>2254</v>
      </c>
      <c r="J352" s="12">
        <v>0</v>
      </c>
      <c r="K352" s="12">
        <v>0</v>
      </c>
      <c r="L352" s="12">
        <v>0</v>
      </c>
      <c r="M352" s="12">
        <v>0</v>
      </c>
      <c r="N352" s="12">
        <v>0</v>
      </c>
      <c r="O352" t="s">
        <v>1216</v>
      </c>
      <c r="P352" t="s">
        <v>1275</v>
      </c>
      <c r="Q352" t="s">
        <v>2255</v>
      </c>
    </row>
    <row r="353" spans="1:17" ht="120" customHeight="1">
      <c r="A353" t="s">
        <v>2256</v>
      </c>
      <c r="B353" t="s">
        <v>2257</v>
      </c>
      <c r="C353" t="s">
        <v>897</v>
      </c>
      <c r="D353" t="s">
        <v>1198</v>
      </c>
      <c r="E353" t="s">
        <v>21</v>
      </c>
      <c r="F353" t="s">
        <v>22</v>
      </c>
      <c r="G353" t="s">
        <v>2258</v>
      </c>
      <c r="H353" t="s">
        <v>2259</v>
      </c>
      <c r="I353" t="s">
        <v>188</v>
      </c>
      <c r="J353" s="12">
        <v>100</v>
      </c>
      <c r="K353" s="12">
        <v>6</v>
      </c>
      <c r="L353" s="12">
        <v>15</v>
      </c>
      <c r="M353" s="12">
        <v>1</v>
      </c>
      <c r="N353" s="12">
        <v>1</v>
      </c>
      <c r="O353" t="s">
        <v>1216</v>
      </c>
      <c r="P353" t="s">
        <v>2260</v>
      </c>
      <c r="Q353" t="s">
        <v>2261</v>
      </c>
    </row>
    <row r="354" spans="1:17" ht="120" customHeight="1">
      <c r="A354" t="s">
        <v>2262</v>
      </c>
      <c r="B354" t="s">
        <v>2263</v>
      </c>
      <c r="C354" t="s">
        <v>897</v>
      </c>
      <c r="D354" t="s">
        <v>1198</v>
      </c>
      <c r="E354" t="s">
        <v>21</v>
      </c>
      <c r="F354" t="s">
        <v>22</v>
      </c>
      <c r="G354" t="s">
        <v>2264</v>
      </c>
      <c r="H354" t="s">
        <v>2265</v>
      </c>
      <c r="I354" t="s">
        <v>188</v>
      </c>
      <c r="J354" s="12">
        <v>95</v>
      </c>
      <c r="K354" s="12">
        <v>6</v>
      </c>
      <c r="L354" s="12">
        <v>14</v>
      </c>
      <c r="M354" s="12">
        <v>1</v>
      </c>
      <c r="N354" s="12">
        <v>1</v>
      </c>
      <c r="O354" t="s">
        <v>1216</v>
      </c>
      <c r="P354" t="s">
        <v>1275</v>
      </c>
      <c r="Q354" t="s">
        <v>2266</v>
      </c>
    </row>
    <row r="355" spans="1:17" ht="120" customHeight="1">
      <c r="A355" t="s">
        <v>2267</v>
      </c>
      <c r="B355" t="s">
        <v>2268</v>
      </c>
      <c r="C355" t="s">
        <v>212</v>
      </c>
      <c r="D355" t="s">
        <v>1260</v>
      </c>
      <c r="E355" t="s">
        <v>21</v>
      </c>
      <c r="F355" t="s">
        <v>22</v>
      </c>
      <c r="G355" t="s">
        <v>2269</v>
      </c>
      <c r="H355" t="s">
        <v>2270</v>
      </c>
      <c r="I355" t="s">
        <v>188</v>
      </c>
      <c r="J355" s="12">
        <v>235</v>
      </c>
      <c r="K355" s="12">
        <v>10</v>
      </c>
      <c r="L355" s="12">
        <v>39</v>
      </c>
      <c r="M355" s="12">
        <v>5</v>
      </c>
      <c r="N355" s="12">
        <v>6</v>
      </c>
      <c r="O355" t="s">
        <v>1216</v>
      </c>
      <c r="P355" t="s">
        <v>1275</v>
      </c>
      <c r="Q355" t="s">
        <v>2271</v>
      </c>
    </row>
    <row r="356" spans="1:17" ht="120" customHeight="1">
      <c r="A356" t="s">
        <v>2272</v>
      </c>
      <c r="B356" t="s">
        <v>2273</v>
      </c>
      <c r="C356" t="s">
        <v>212</v>
      </c>
      <c r="D356" t="s">
        <v>1260</v>
      </c>
      <c r="E356" t="s">
        <v>21</v>
      </c>
      <c r="F356" t="s">
        <v>22</v>
      </c>
      <c r="G356" t="s">
        <v>2274</v>
      </c>
      <c r="H356" t="s">
        <v>2275</v>
      </c>
      <c r="I356" t="s">
        <v>188</v>
      </c>
      <c r="J356" s="12">
        <v>210</v>
      </c>
      <c r="K356" s="12">
        <v>11</v>
      </c>
      <c r="L356" s="12">
        <v>30</v>
      </c>
      <c r="M356" s="12">
        <v>6</v>
      </c>
      <c r="N356" s="12">
        <v>7</v>
      </c>
      <c r="O356" t="s">
        <v>1216</v>
      </c>
      <c r="P356" t="s">
        <v>1275</v>
      </c>
      <c r="Q356" t="s">
        <v>2276</v>
      </c>
    </row>
    <row r="357" spans="1:17" ht="120" customHeight="1">
      <c r="A357" t="s">
        <v>2277</v>
      </c>
      <c r="B357" t="s">
        <v>2278</v>
      </c>
      <c r="C357" t="s">
        <v>897</v>
      </c>
      <c r="D357" t="s">
        <v>2279</v>
      </c>
      <c r="E357" t="s">
        <v>21</v>
      </c>
      <c r="F357" t="s">
        <v>22</v>
      </c>
      <c r="G357" t="s">
        <v>2280</v>
      </c>
      <c r="H357" t="s">
        <v>2281</v>
      </c>
      <c r="I357" t="s">
        <v>188</v>
      </c>
      <c r="J357" s="12">
        <v>150</v>
      </c>
      <c r="K357" s="12">
        <v>6</v>
      </c>
      <c r="L357" s="12">
        <v>18</v>
      </c>
      <c r="M357" s="12">
        <v>6</v>
      </c>
      <c r="N357" s="12">
        <v>7</v>
      </c>
      <c r="O357" t="s">
        <v>1216</v>
      </c>
      <c r="P357" t="s">
        <v>1275</v>
      </c>
      <c r="Q357" t="s">
        <v>2282</v>
      </c>
    </row>
    <row r="358" spans="1:17" ht="120" customHeight="1">
      <c r="A358" t="s">
        <v>2283</v>
      </c>
      <c r="B358" t="s">
        <v>2284</v>
      </c>
      <c r="C358" t="s">
        <v>897</v>
      </c>
      <c r="D358" t="s">
        <v>1619</v>
      </c>
      <c r="E358" t="s">
        <v>21</v>
      </c>
      <c r="F358" t="s">
        <v>22</v>
      </c>
      <c r="G358" t="s">
        <v>2285</v>
      </c>
      <c r="H358" t="s">
        <v>2286</v>
      </c>
      <c r="I358" t="s">
        <v>188</v>
      </c>
      <c r="J358" s="12">
        <v>175</v>
      </c>
      <c r="K358" s="12">
        <v>4</v>
      </c>
      <c r="L358" s="12">
        <v>22</v>
      </c>
      <c r="M358" s="12">
        <v>8</v>
      </c>
      <c r="N358" s="12">
        <v>7</v>
      </c>
      <c r="O358" t="s">
        <v>1216</v>
      </c>
      <c r="P358" t="s">
        <v>1275</v>
      </c>
      <c r="Q358" t="s">
        <v>2287</v>
      </c>
    </row>
    <row r="359" spans="1:17" ht="120" customHeight="1">
      <c r="A359" t="s">
        <v>2288</v>
      </c>
      <c r="B359" t="s">
        <v>2289</v>
      </c>
      <c r="C359" t="s">
        <v>897</v>
      </c>
      <c r="D359" t="s">
        <v>1198</v>
      </c>
      <c r="E359" t="s">
        <v>21</v>
      </c>
      <c r="F359" t="s">
        <v>22</v>
      </c>
      <c r="G359" t="s">
        <v>2290</v>
      </c>
      <c r="H359" t="s">
        <v>2291</v>
      </c>
      <c r="I359" t="s">
        <v>188</v>
      </c>
      <c r="J359" s="12">
        <v>170</v>
      </c>
      <c r="K359" s="12">
        <v>13</v>
      </c>
      <c r="L359" s="12">
        <v>11</v>
      </c>
      <c r="M359" s="12">
        <v>8</v>
      </c>
      <c r="N359" s="12"/>
      <c r="O359" t="s">
        <v>1216</v>
      </c>
      <c r="P359" t="s">
        <v>1275</v>
      </c>
      <c r="Q359" t="s">
        <v>2292</v>
      </c>
    </row>
    <row r="360" spans="1:17" ht="120" customHeight="1">
      <c r="A360" t="s">
        <v>2293</v>
      </c>
      <c r="B360" t="s">
        <v>2294</v>
      </c>
      <c r="C360" t="s">
        <v>897</v>
      </c>
      <c r="D360" t="s">
        <v>2279</v>
      </c>
      <c r="E360" t="s">
        <v>245</v>
      </c>
      <c r="F360" t="s">
        <v>22</v>
      </c>
      <c r="G360" t="s">
        <v>2295</v>
      </c>
      <c r="H360" t="s">
        <v>2296</v>
      </c>
      <c r="I360" t="s">
        <v>188</v>
      </c>
      <c r="J360" s="12">
        <v>155</v>
      </c>
      <c r="K360" s="12">
        <v>5</v>
      </c>
      <c r="L360" s="12">
        <v>30</v>
      </c>
      <c r="M360" s="12">
        <v>2</v>
      </c>
      <c r="N360" s="12">
        <v>4</v>
      </c>
      <c r="O360" t="s">
        <v>1216</v>
      </c>
      <c r="P360" t="s">
        <v>1275</v>
      </c>
      <c r="Q360" t="s">
        <v>2297</v>
      </c>
    </row>
    <row r="361" spans="1:17" ht="120" customHeight="1">
      <c r="A361" t="s">
        <v>2298</v>
      </c>
      <c r="B361" t="s">
        <v>2299</v>
      </c>
      <c r="C361" t="s">
        <v>897</v>
      </c>
      <c r="D361" t="s">
        <v>1619</v>
      </c>
      <c r="E361" t="s">
        <v>245</v>
      </c>
      <c r="F361" t="s">
        <v>22</v>
      </c>
      <c r="G361" t="s">
        <v>2300</v>
      </c>
      <c r="H361" t="s">
        <v>2301</v>
      </c>
      <c r="I361" t="s">
        <v>188</v>
      </c>
      <c r="J361" s="12">
        <v>160</v>
      </c>
      <c r="K361" s="12">
        <v>2</v>
      </c>
      <c r="L361" s="12">
        <v>39</v>
      </c>
      <c r="M361" s="12">
        <v>1</v>
      </c>
      <c r="N361" s="12">
        <v>5</v>
      </c>
      <c r="O361" t="s">
        <v>1216</v>
      </c>
      <c r="P361" t="s">
        <v>1275</v>
      </c>
      <c r="Q361" t="s">
        <v>2302</v>
      </c>
    </row>
    <row r="362" spans="1:17" ht="120" customHeight="1">
      <c r="A362" t="s">
        <v>2303</v>
      </c>
      <c r="B362" t="s">
        <v>2304</v>
      </c>
      <c r="C362" t="s">
        <v>41</v>
      </c>
      <c r="D362" t="s">
        <v>2305</v>
      </c>
      <c r="E362" t="s">
        <v>63</v>
      </c>
      <c r="F362" t="s">
        <v>22</v>
      </c>
      <c r="G362" t="s">
        <v>2306</v>
      </c>
      <c r="H362" t="s">
        <v>2307</v>
      </c>
      <c r="I362" t="s">
        <v>188</v>
      </c>
      <c r="J362" s="12">
        <v>285</v>
      </c>
      <c r="K362" s="12">
        <v>8</v>
      </c>
      <c r="L362" s="12">
        <v>48</v>
      </c>
      <c r="M362" s="12">
        <v>7</v>
      </c>
      <c r="N362" s="12">
        <v>5</v>
      </c>
      <c r="O362" t="s">
        <v>1216</v>
      </c>
      <c r="P362" t="s">
        <v>1275</v>
      </c>
      <c r="Q362" t="s">
        <v>2308</v>
      </c>
    </row>
    <row r="363" spans="1:17" ht="120" customHeight="1">
      <c r="A363" t="s">
        <v>2309</v>
      </c>
      <c r="B363" t="s">
        <v>2310</v>
      </c>
      <c r="C363" t="s">
        <v>41</v>
      </c>
      <c r="D363" t="s">
        <v>1205</v>
      </c>
      <c r="E363" t="s">
        <v>1794</v>
      </c>
      <c r="F363" t="s">
        <v>1794</v>
      </c>
      <c r="G363" t="s">
        <v>2311</v>
      </c>
      <c r="H363" t="s">
        <v>2312</v>
      </c>
      <c r="I363" t="s">
        <v>188</v>
      </c>
      <c r="J363" s="12">
        <v>325</v>
      </c>
      <c r="K363" s="12">
        <v>32</v>
      </c>
      <c r="L363" s="12">
        <v>33</v>
      </c>
      <c r="M363" s="12">
        <v>8</v>
      </c>
      <c r="N363" s="12">
        <v>4</v>
      </c>
      <c r="O363" t="s">
        <v>1216</v>
      </c>
      <c r="P363" t="s">
        <v>1275</v>
      </c>
      <c r="Q363" t="s">
        <v>2313</v>
      </c>
    </row>
    <row r="364" spans="1:17" ht="120" customHeight="1">
      <c r="A364" t="s">
        <v>2314</v>
      </c>
      <c r="B364" t="s">
        <v>2315</v>
      </c>
      <c r="C364" t="s">
        <v>41</v>
      </c>
      <c r="D364" t="s">
        <v>1203</v>
      </c>
      <c r="E364" t="s">
        <v>1794</v>
      </c>
      <c r="F364" t="s">
        <v>1794</v>
      </c>
      <c r="G364" t="s">
        <v>2316</v>
      </c>
      <c r="H364" t="s">
        <v>2317</v>
      </c>
      <c r="I364" t="s">
        <v>188</v>
      </c>
      <c r="J364" s="12">
        <v>290</v>
      </c>
      <c r="K364" s="12">
        <v>18</v>
      </c>
      <c r="L364" s="12">
        <v>39</v>
      </c>
      <c r="M364" s="12">
        <v>7</v>
      </c>
      <c r="N364" s="12">
        <v>5</v>
      </c>
      <c r="O364" t="s">
        <v>1216</v>
      </c>
      <c r="P364" t="s">
        <v>1275</v>
      </c>
      <c r="Q364" t="s">
        <v>2318</v>
      </c>
    </row>
    <row r="365" spans="1:17" ht="120" customHeight="1">
      <c r="A365" t="s">
        <v>2319</v>
      </c>
      <c r="B365" t="s">
        <v>2320</v>
      </c>
      <c r="C365" t="s">
        <v>41</v>
      </c>
      <c r="D365" t="s">
        <v>1205</v>
      </c>
      <c r="E365" t="s">
        <v>1794</v>
      </c>
      <c r="F365" t="s">
        <v>1794</v>
      </c>
      <c r="G365" t="s">
        <v>2321</v>
      </c>
      <c r="H365" t="s">
        <v>2322</v>
      </c>
      <c r="I365" t="s">
        <v>188</v>
      </c>
      <c r="J365" s="12">
        <v>300</v>
      </c>
      <c r="K365" s="12">
        <v>29</v>
      </c>
      <c r="L365" s="12">
        <v>36</v>
      </c>
      <c r="M365" s="12">
        <v>5</v>
      </c>
      <c r="N365" s="12">
        <v>4</v>
      </c>
      <c r="O365" t="s">
        <v>1216</v>
      </c>
      <c r="P365" t="s">
        <v>1275</v>
      </c>
      <c r="Q365" t="s">
        <v>2323</v>
      </c>
    </row>
    <row r="366" spans="1:17" ht="120" customHeight="1">
      <c r="A366" t="s">
        <v>2324</v>
      </c>
      <c r="B366" t="s">
        <v>2325</v>
      </c>
      <c r="C366" t="s">
        <v>41</v>
      </c>
      <c r="D366" t="s">
        <v>2326</v>
      </c>
      <c r="E366" t="s">
        <v>1794</v>
      </c>
      <c r="F366" t="s">
        <v>1794</v>
      </c>
      <c r="G366" t="s">
        <v>2327</v>
      </c>
      <c r="H366" t="s">
        <v>2328</v>
      </c>
      <c r="I366" t="s">
        <v>188</v>
      </c>
      <c r="J366" s="12">
        <v>290</v>
      </c>
      <c r="K366" s="12">
        <v>8</v>
      </c>
      <c r="L366" s="12">
        <v>48</v>
      </c>
      <c r="M366" s="12">
        <v>7</v>
      </c>
      <c r="N366" s="12">
        <v>7</v>
      </c>
      <c r="O366" t="s">
        <v>1216</v>
      </c>
      <c r="P366" t="s">
        <v>1275</v>
      </c>
      <c r="Q366" t="s">
        <v>2329</v>
      </c>
    </row>
    <row r="367" spans="1:17" ht="120" customHeight="1">
      <c r="A367" t="s">
        <v>2330</v>
      </c>
      <c r="B367" t="s">
        <v>2331</v>
      </c>
      <c r="C367" t="s">
        <v>41</v>
      </c>
      <c r="D367" t="s">
        <v>1303</v>
      </c>
      <c r="E367" t="s">
        <v>1794</v>
      </c>
      <c r="F367" t="s">
        <v>1794</v>
      </c>
      <c r="G367" t="s">
        <v>2332</v>
      </c>
      <c r="H367" t="s">
        <v>2333</v>
      </c>
      <c r="I367" t="s">
        <v>188</v>
      </c>
      <c r="J367" s="12">
        <v>310</v>
      </c>
      <c r="K367" s="12">
        <v>28</v>
      </c>
      <c r="L367" s="12">
        <v>34</v>
      </c>
      <c r="M367" s="12">
        <v>7</v>
      </c>
      <c r="N367" s="12"/>
      <c r="O367" t="s">
        <v>1216</v>
      </c>
      <c r="P367" t="s">
        <v>1275</v>
      </c>
      <c r="Q367" t="s">
        <v>2334</v>
      </c>
    </row>
    <row r="368" spans="1:17" ht="120" customHeight="1">
      <c r="A368" t="s">
        <v>2335</v>
      </c>
      <c r="B368" t="s">
        <v>2336</v>
      </c>
      <c r="C368" t="s">
        <v>41</v>
      </c>
      <c r="D368" t="s">
        <v>1221</v>
      </c>
      <c r="E368" t="s">
        <v>1794</v>
      </c>
      <c r="F368" t="s">
        <v>1794</v>
      </c>
      <c r="G368" t="s">
        <v>2337</v>
      </c>
      <c r="H368" t="s">
        <v>2338</v>
      </c>
      <c r="I368" t="s">
        <v>188</v>
      </c>
      <c r="J368" s="12">
        <v>330</v>
      </c>
      <c r="K368" s="12">
        <v>30</v>
      </c>
      <c r="L368" s="12">
        <v>36</v>
      </c>
      <c r="M368" s="12">
        <v>8</v>
      </c>
      <c r="N368" s="12">
        <v>7</v>
      </c>
      <c r="O368" t="s">
        <v>1216</v>
      </c>
      <c r="P368" t="s">
        <v>1275</v>
      </c>
      <c r="Q368" t="s">
        <v>2339</v>
      </c>
    </row>
    <row r="369" spans="1:17" ht="120" customHeight="1">
      <c r="A369" t="s">
        <v>2340</v>
      </c>
      <c r="B369" t="s">
        <v>2341</v>
      </c>
      <c r="C369" t="s">
        <v>41</v>
      </c>
      <c r="D369" t="s">
        <v>2305</v>
      </c>
      <c r="E369" t="s">
        <v>1794</v>
      </c>
      <c r="F369" t="s">
        <v>1794</v>
      </c>
      <c r="G369" t="s">
        <v>2342</v>
      </c>
      <c r="H369" t="s">
        <v>2343</v>
      </c>
      <c r="I369" t="s">
        <v>188</v>
      </c>
      <c r="J369" s="12">
        <v>275</v>
      </c>
      <c r="K369" s="12">
        <v>7</v>
      </c>
      <c r="L369" s="12">
        <v>47</v>
      </c>
      <c r="M369" s="12">
        <v>7</v>
      </c>
      <c r="N369" s="12">
        <v>4</v>
      </c>
      <c r="O369" t="s">
        <v>1216</v>
      </c>
      <c r="P369" t="s">
        <v>1275</v>
      </c>
      <c r="Q369" t="s">
        <v>2344</v>
      </c>
    </row>
    <row r="370" spans="1:17" ht="120" customHeight="1">
      <c r="A370" t="s">
        <v>2345</v>
      </c>
      <c r="B370" t="s">
        <v>2346</v>
      </c>
      <c r="C370" t="s">
        <v>41</v>
      </c>
      <c r="D370" t="s">
        <v>1203</v>
      </c>
      <c r="E370" t="s">
        <v>1794</v>
      </c>
      <c r="F370" t="s">
        <v>1794</v>
      </c>
      <c r="G370" t="s">
        <v>2347</v>
      </c>
      <c r="H370" t="s">
        <v>2348</v>
      </c>
      <c r="I370" t="s">
        <v>188</v>
      </c>
      <c r="J370" s="12">
        <v>300</v>
      </c>
      <c r="K370" s="12">
        <v>16</v>
      </c>
      <c r="L370" s="12">
        <v>39</v>
      </c>
      <c r="M370" s="12">
        <v>9</v>
      </c>
      <c r="N370" s="12">
        <v>4</v>
      </c>
      <c r="O370" t="s">
        <v>1216</v>
      </c>
      <c r="P370" t="s">
        <v>1275</v>
      </c>
      <c r="Q370" t="s">
        <v>2349</v>
      </c>
    </row>
    <row r="371" spans="1:17" ht="120" customHeight="1">
      <c r="A371" t="s">
        <v>2350</v>
      </c>
      <c r="B371" t="s">
        <v>2351</v>
      </c>
      <c r="C371" t="s">
        <v>41</v>
      </c>
      <c r="D371" t="s">
        <v>1205</v>
      </c>
      <c r="E371" t="s">
        <v>1794</v>
      </c>
      <c r="F371" t="s">
        <v>1794</v>
      </c>
      <c r="G371" t="s">
        <v>2352</v>
      </c>
      <c r="H371" t="s">
        <v>2353</v>
      </c>
      <c r="I371" t="s">
        <v>188</v>
      </c>
      <c r="J371" s="12">
        <v>340</v>
      </c>
      <c r="K371" s="12">
        <v>28</v>
      </c>
      <c r="L371" s="12">
        <v>33</v>
      </c>
      <c r="M371" s="12">
        <v>12</v>
      </c>
      <c r="N371" s="12">
        <v>4</v>
      </c>
      <c r="O371" t="s">
        <v>1216</v>
      </c>
      <c r="P371" t="s">
        <v>1275</v>
      </c>
      <c r="Q371" t="s">
        <v>2354</v>
      </c>
    </row>
    <row r="372" spans="1:17" ht="120" customHeight="1">
      <c r="A372" t="s">
        <v>2355</v>
      </c>
      <c r="B372" t="s">
        <v>2356</v>
      </c>
      <c r="C372" t="s">
        <v>41</v>
      </c>
      <c r="D372" t="s">
        <v>1203</v>
      </c>
      <c r="E372" t="s">
        <v>1794</v>
      </c>
      <c r="F372" t="s">
        <v>1794</v>
      </c>
      <c r="G372" t="s">
        <v>2357</v>
      </c>
      <c r="H372" t="s">
        <v>2358</v>
      </c>
      <c r="I372" t="s">
        <v>188</v>
      </c>
      <c r="J372" s="12">
        <v>285</v>
      </c>
      <c r="K372" s="12">
        <v>12</v>
      </c>
      <c r="L372" s="12">
        <v>38</v>
      </c>
      <c r="M372" s="12">
        <v>9</v>
      </c>
      <c r="N372" s="12">
        <v>4</v>
      </c>
      <c r="O372" t="s">
        <v>1216</v>
      </c>
      <c r="P372" t="s">
        <v>1275</v>
      </c>
      <c r="Q372" t="s">
        <v>2359</v>
      </c>
    </row>
    <row r="373" spans="1:17" ht="120" customHeight="1">
      <c r="A373" t="s">
        <v>2360</v>
      </c>
      <c r="B373" t="s">
        <v>2361</v>
      </c>
      <c r="C373" t="s">
        <v>41</v>
      </c>
      <c r="D373" t="s">
        <v>1205</v>
      </c>
      <c r="E373" t="s">
        <v>1794</v>
      </c>
      <c r="F373" t="s">
        <v>1794</v>
      </c>
      <c r="G373" t="s">
        <v>2362</v>
      </c>
      <c r="H373" t="s">
        <v>2363</v>
      </c>
      <c r="I373" t="s">
        <v>188</v>
      </c>
      <c r="J373" s="12">
        <v>315</v>
      </c>
      <c r="K373" s="12">
        <v>31</v>
      </c>
      <c r="L373" s="12">
        <v>34</v>
      </c>
      <c r="M373" s="12">
        <v>6</v>
      </c>
      <c r="N373" s="12">
        <v>5</v>
      </c>
      <c r="O373" t="s">
        <v>1216</v>
      </c>
      <c r="P373" t="s">
        <v>1275</v>
      </c>
      <c r="Q373" t="s">
        <v>2364</v>
      </c>
    </row>
    <row r="374" spans="1:17" ht="120" customHeight="1">
      <c r="A374" t="s">
        <v>2365</v>
      </c>
      <c r="B374" t="s">
        <v>2366</v>
      </c>
      <c r="C374" t="s">
        <v>41</v>
      </c>
      <c r="D374" t="s">
        <v>1303</v>
      </c>
      <c r="E374" t="s">
        <v>1794</v>
      </c>
      <c r="F374" t="s">
        <v>1794</v>
      </c>
      <c r="G374" t="s">
        <v>2367</v>
      </c>
      <c r="H374" t="s">
        <v>2368</v>
      </c>
      <c r="I374" t="s">
        <v>188</v>
      </c>
      <c r="J374" s="12">
        <v>335</v>
      </c>
      <c r="K374" s="12">
        <v>25</v>
      </c>
      <c r="L374" s="12">
        <v>35</v>
      </c>
      <c r="M374" s="12">
        <v>12</v>
      </c>
      <c r="N374" s="12"/>
      <c r="O374" t="s">
        <v>1216</v>
      </c>
      <c r="P374" t="s">
        <v>1275</v>
      </c>
      <c r="Q374" t="s">
        <v>2369</v>
      </c>
    </row>
    <row r="375" spans="1:17" ht="120" customHeight="1">
      <c r="A375" t="s">
        <v>2370</v>
      </c>
      <c r="B375" t="s">
        <v>2371</v>
      </c>
      <c r="C375" t="s">
        <v>41</v>
      </c>
      <c r="D375" t="s">
        <v>2326</v>
      </c>
      <c r="E375" t="s">
        <v>1794</v>
      </c>
      <c r="F375" t="s">
        <v>1794</v>
      </c>
      <c r="G375" t="s">
        <v>2372</v>
      </c>
      <c r="H375" t="s">
        <v>2373</v>
      </c>
      <c r="I375" t="s">
        <v>188</v>
      </c>
      <c r="J375" s="12">
        <v>315</v>
      </c>
      <c r="K375" s="12">
        <v>10</v>
      </c>
      <c r="L375" s="12">
        <v>52</v>
      </c>
      <c r="M375" s="12">
        <v>7</v>
      </c>
      <c r="N375" s="12">
        <v>7</v>
      </c>
      <c r="O375" t="s">
        <v>1216</v>
      </c>
      <c r="P375" t="s">
        <v>1275</v>
      </c>
      <c r="Q375" t="s">
        <v>2374</v>
      </c>
    </row>
    <row r="376" spans="1:17" ht="120" customHeight="1">
      <c r="A376" t="s">
        <v>2375</v>
      </c>
      <c r="B376" t="s">
        <v>2376</v>
      </c>
      <c r="C376" t="s">
        <v>41</v>
      </c>
      <c r="D376" t="s">
        <v>1303</v>
      </c>
      <c r="E376" t="s">
        <v>1794</v>
      </c>
      <c r="F376" t="s">
        <v>1794</v>
      </c>
      <c r="G376" t="s">
        <v>2377</v>
      </c>
      <c r="H376" t="s">
        <v>2378</v>
      </c>
      <c r="I376" t="s">
        <v>188</v>
      </c>
      <c r="J376" s="12">
        <v>300</v>
      </c>
      <c r="K376" s="12">
        <v>28</v>
      </c>
      <c r="L376" s="12">
        <v>32</v>
      </c>
      <c r="M376" s="12">
        <v>7</v>
      </c>
      <c r="N376" s="12"/>
      <c r="O376" t="s">
        <v>1216</v>
      </c>
      <c r="P376" t="s">
        <v>1275</v>
      </c>
      <c r="Q376" t="s">
        <v>2379</v>
      </c>
    </row>
    <row r="377" spans="1:17" ht="120" customHeight="1">
      <c r="A377" t="s">
        <v>2380</v>
      </c>
      <c r="B377" t="s">
        <v>2381</v>
      </c>
      <c r="C377" t="s">
        <v>41</v>
      </c>
      <c r="D377" t="s">
        <v>1890</v>
      </c>
      <c r="E377" t="s">
        <v>21</v>
      </c>
      <c r="F377" t="s">
        <v>22</v>
      </c>
      <c r="G377" t="s">
        <v>2382</v>
      </c>
      <c r="H377" t="s">
        <v>2383</v>
      </c>
      <c r="I377" t="s">
        <v>188</v>
      </c>
      <c r="J377" s="12">
        <v>130</v>
      </c>
      <c r="K377" s="12">
        <v>5</v>
      </c>
      <c r="L377" s="12">
        <v>20</v>
      </c>
      <c r="M377" s="12">
        <v>4</v>
      </c>
      <c r="N377" s="12">
        <v>5</v>
      </c>
      <c r="O377" t="s">
        <v>1216</v>
      </c>
      <c r="P377" t="s">
        <v>2384</v>
      </c>
      <c r="Q377" t="s">
        <v>2385</v>
      </c>
    </row>
    <row r="378" spans="1:17" ht="120" customHeight="1">
      <c r="A378" t="s">
        <v>2386</v>
      </c>
      <c r="B378" t="s">
        <v>2387</v>
      </c>
      <c r="C378" t="s">
        <v>41</v>
      </c>
      <c r="D378" t="s">
        <v>1941</v>
      </c>
      <c r="E378" t="s">
        <v>1794</v>
      </c>
      <c r="F378" t="s">
        <v>1794</v>
      </c>
      <c r="G378" t="s">
        <v>2388</v>
      </c>
      <c r="H378" t="s">
        <v>2389</v>
      </c>
      <c r="I378" t="s">
        <v>188</v>
      </c>
      <c r="J378" s="12">
        <v>145</v>
      </c>
      <c r="K378" s="12">
        <v>3</v>
      </c>
      <c r="L378" s="12">
        <v>25</v>
      </c>
      <c r="M378" s="12">
        <v>5</v>
      </c>
      <c r="N378" s="12">
        <v>5</v>
      </c>
      <c r="O378" t="s">
        <v>1216</v>
      </c>
      <c r="P378" t="s">
        <v>1275</v>
      </c>
      <c r="Q378" t="s">
        <v>2390</v>
      </c>
    </row>
    <row r="379" spans="1:17" ht="120" customHeight="1">
      <c r="A379" t="s">
        <v>2391</v>
      </c>
      <c r="B379" t="s">
        <v>2392</v>
      </c>
      <c r="C379" t="s">
        <v>41</v>
      </c>
      <c r="D379" t="s">
        <v>1890</v>
      </c>
      <c r="E379" t="s">
        <v>1794</v>
      </c>
      <c r="F379" t="s">
        <v>1794</v>
      </c>
      <c r="G379" t="s">
        <v>2393</v>
      </c>
      <c r="H379" t="s">
        <v>2394</v>
      </c>
      <c r="I379" t="s">
        <v>188</v>
      </c>
      <c r="J379" s="12">
        <v>185</v>
      </c>
      <c r="K379" s="12">
        <v>4</v>
      </c>
      <c r="L379" s="12">
        <v>31</v>
      </c>
      <c r="M379" s="12">
        <v>5</v>
      </c>
      <c r="N379" s="12">
        <v>3</v>
      </c>
      <c r="O379" t="s">
        <v>1216</v>
      </c>
      <c r="P379" t="s">
        <v>2395</v>
      </c>
      <c r="Q379" t="s">
        <v>2396</v>
      </c>
    </row>
    <row r="380" spans="1:17" ht="120" customHeight="1">
      <c r="A380" t="s">
        <v>2397</v>
      </c>
      <c r="B380" t="s">
        <v>2398</v>
      </c>
      <c r="C380" t="s">
        <v>41</v>
      </c>
      <c r="D380" t="s">
        <v>1941</v>
      </c>
      <c r="E380" t="s">
        <v>1794</v>
      </c>
      <c r="F380" t="s">
        <v>1794</v>
      </c>
      <c r="G380" t="s">
        <v>2399</v>
      </c>
      <c r="H380" t="s">
        <v>2400</v>
      </c>
      <c r="I380" t="s">
        <v>188</v>
      </c>
      <c r="J380" s="12">
        <v>175</v>
      </c>
      <c r="K380" s="12">
        <v>2</v>
      </c>
      <c r="L380" s="12">
        <v>32</v>
      </c>
      <c r="M380" s="12">
        <v>5</v>
      </c>
      <c r="N380" s="12">
        <v>4</v>
      </c>
      <c r="O380" t="s">
        <v>1216</v>
      </c>
      <c r="P380" t="s">
        <v>1275</v>
      </c>
      <c r="Q380" t="s">
        <v>2401</v>
      </c>
    </row>
    <row r="381" spans="1:17" ht="120" customHeight="1">
      <c r="A381" t="s">
        <v>2402</v>
      </c>
      <c r="B381" t="s">
        <v>2403</v>
      </c>
      <c r="C381" t="s">
        <v>41</v>
      </c>
      <c r="D381" t="s">
        <v>1890</v>
      </c>
      <c r="E381" t="s">
        <v>1794</v>
      </c>
      <c r="F381" t="s">
        <v>1794</v>
      </c>
      <c r="G381" t="s">
        <v>2404</v>
      </c>
      <c r="H381" t="s">
        <v>2405</v>
      </c>
      <c r="I381" t="s">
        <v>188</v>
      </c>
      <c r="J381" s="12">
        <v>190</v>
      </c>
      <c r="K381" s="12">
        <v>3</v>
      </c>
      <c r="L381" s="12">
        <v>34</v>
      </c>
      <c r="M381" s="12">
        <v>5</v>
      </c>
      <c r="N381" s="12">
        <v>3</v>
      </c>
      <c r="O381" t="s">
        <v>1216</v>
      </c>
      <c r="P381" t="s">
        <v>1275</v>
      </c>
      <c r="Q381" t="s">
        <v>2406</v>
      </c>
    </row>
    <row r="382" spans="1:17" ht="120" customHeight="1">
      <c r="A382" t="s">
        <v>2407</v>
      </c>
      <c r="B382" t="s">
        <v>2408</v>
      </c>
      <c r="C382" t="s">
        <v>41</v>
      </c>
      <c r="D382" t="s">
        <v>1619</v>
      </c>
      <c r="E382" t="s">
        <v>1794</v>
      </c>
      <c r="F382" t="s">
        <v>1794</v>
      </c>
      <c r="G382" t="s">
        <v>2409</v>
      </c>
      <c r="H382" t="s">
        <v>2410</v>
      </c>
      <c r="I382" t="s">
        <v>188</v>
      </c>
      <c r="J382" s="12">
        <v>175</v>
      </c>
      <c r="K382" s="12">
        <v>8</v>
      </c>
      <c r="L382" s="12">
        <v>22</v>
      </c>
      <c r="M382" s="12">
        <v>6</v>
      </c>
      <c r="N382" s="12">
        <v>8</v>
      </c>
      <c r="O382" t="s">
        <v>1216</v>
      </c>
      <c r="P382" t="s">
        <v>1275</v>
      </c>
      <c r="Q382" t="s">
        <v>2411</v>
      </c>
    </row>
    <row r="383" spans="1:17" ht="120" customHeight="1">
      <c r="A383" t="s">
        <v>2412</v>
      </c>
      <c r="B383" t="s">
        <v>2413</v>
      </c>
      <c r="C383" t="s">
        <v>41</v>
      </c>
      <c r="D383" t="s">
        <v>1890</v>
      </c>
      <c r="E383" t="s">
        <v>1794</v>
      </c>
      <c r="F383" t="s">
        <v>1794</v>
      </c>
      <c r="G383" t="s">
        <v>2414</v>
      </c>
      <c r="H383" t="s">
        <v>2415</v>
      </c>
      <c r="I383" t="s">
        <v>188</v>
      </c>
      <c r="J383" s="12">
        <v>115</v>
      </c>
      <c r="K383" s="12">
        <v>6</v>
      </c>
      <c r="L383" s="12">
        <v>11</v>
      </c>
      <c r="M383" s="12">
        <v>6</v>
      </c>
      <c r="N383" s="12">
        <v>4</v>
      </c>
      <c r="O383" t="s">
        <v>1216</v>
      </c>
      <c r="P383" t="s">
        <v>1275</v>
      </c>
      <c r="Q383" t="s">
        <v>2416</v>
      </c>
    </row>
    <row r="384" spans="1:17" ht="120" customHeight="1">
      <c r="A384" t="s">
        <v>2417</v>
      </c>
      <c r="B384" t="s">
        <v>2418</v>
      </c>
      <c r="C384" t="s">
        <v>41</v>
      </c>
      <c r="D384" t="s">
        <v>1541</v>
      </c>
      <c r="E384" t="s">
        <v>1794</v>
      </c>
      <c r="F384" t="s">
        <v>1794</v>
      </c>
      <c r="G384" t="s">
        <v>2419</v>
      </c>
      <c r="H384" t="s">
        <v>2420</v>
      </c>
      <c r="I384" t="s">
        <v>188</v>
      </c>
      <c r="J384" s="12">
        <v>145</v>
      </c>
      <c r="K384" s="12">
        <v>8</v>
      </c>
      <c r="L384" s="12">
        <v>14</v>
      </c>
      <c r="M384" s="12">
        <v>7</v>
      </c>
      <c r="N384" s="12">
        <v>7</v>
      </c>
      <c r="O384" t="s">
        <v>1216</v>
      </c>
      <c r="P384" t="s">
        <v>1275</v>
      </c>
      <c r="Q384" t="s">
        <v>2421</v>
      </c>
    </row>
    <row r="385" spans="1:17" ht="120" customHeight="1">
      <c r="A385" t="s">
        <v>2422</v>
      </c>
      <c r="B385" t="s">
        <v>2423</v>
      </c>
      <c r="C385" t="s">
        <v>41</v>
      </c>
      <c r="D385" t="s">
        <v>1890</v>
      </c>
      <c r="E385" t="s">
        <v>1794</v>
      </c>
      <c r="F385" t="s">
        <v>1794</v>
      </c>
      <c r="G385" t="s">
        <v>2424</v>
      </c>
      <c r="H385" t="s">
        <v>2425</v>
      </c>
      <c r="I385" t="s">
        <v>188</v>
      </c>
      <c r="J385" s="12">
        <v>145</v>
      </c>
      <c r="K385" s="12">
        <v>8</v>
      </c>
      <c r="L385" s="12">
        <v>9</v>
      </c>
      <c r="M385" s="12">
        <v>9</v>
      </c>
      <c r="N385" s="12">
        <v>3</v>
      </c>
      <c r="O385" t="s">
        <v>1216</v>
      </c>
      <c r="P385" t="s">
        <v>1275</v>
      </c>
      <c r="Q385" t="s">
        <v>2426</v>
      </c>
    </row>
    <row r="386" spans="1:17" ht="120" customHeight="1">
      <c r="A386" t="s">
        <v>2427</v>
      </c>
      <c r="B386" t="s">
        <v>2428</v>
      </c>
      <c r="C386" t="s">
        <v>41</v>
      </c>
      <c r="D386" t="s">
        <v>1541</v>
      </c>
      <c r="E386" t="s">
        <v>1794</v>
      </c>
      <c r="F386" t="s">
        <v>1794</v>
      </c>
      <c r="G386" t="s">
        <v>2429</v>
      </c>
      <c r="H386" t="s">
        <v>2430</v>
      </c>
      <c r="I386" t="s">
        <v>188</v>
      </c>
      <c r="J386" s="12">
        <v>150</v>
      </c>
      <c r="K386" s="12">
        <v>5</v>
      </c>
      <c r="L386" s="12">
        <v>20</v>
      </c>
      <c r="M386" s="12">
        <v>6</v>
      </c>
      <c r="N386" s="12">
        <v>5</v>
      </c>
      <c r="O386" t="s">
        <v>1216</v>
      </c>
      <c r="P386" t="s">
        <v>1275</v>
      </c>
      <c r="Q386" t="s">
        <v>2431</v>
      </c>
    </row>
    <row r="387" spans="1:17" ht="120" customHeight="1">
      <c r="A387" t="s">
        <v>2432</v>
      </c>
      <c r="B387" t="s">
        <v>2433</v>
      </c>
      <c r="C387" t="s">
        <v>41</v>
      </c>
      <c r="D387" t="s">
        <v>1314</v>
      </c>
      <c r="E387" t="s">
        <v>74</v>
      </c>
      <c r="F387" t="s">
        <v>22</v>
      </c>
      <c r="G387" t="s">
        <v>2434</v>
      </c>
      <c r="H387" t="s">
        <v>2435</v>
      </c>
      <c r="I387" t="s">
        <v>188</v>
      </c>
      <c r="J387" s="12">
        <v>315</v>
      </c>
      <c r="K387" s="12">
        <v>47</v>
      </c>
      <c r="L387" s="12">
        <v>9</v>
      </c>
      <c r="M387" s="12">
        <v>10</v>
      </c>
      <c r="N387" s="12"/>
      <c r="O387" t="s">
        <v>1216</v>
      </c>
      <c r="P387" t="s">
        <v>1275</v>
      </c>
      <c r="Q387" t="s">
        <v>2436</v>
      </c>
    </row>
    <row r="388" spans="1:17" ht="120" customHeight="1">
      <c r="A388" t="s">
        <v>2437</v>
      </c>
      <c r="B388" t="s">
        <v>2438</v>
      </c>
      <c r="C388" t="s">
        <v>41</v>
      </c>
      <c r="D388" t="s">
        <v>1279</v>
      </c>
      <c r="E388" t="s">
        <v>1794</v>
      </c>
      <c r="F388" t="s">
        <v>1794</v>
      </c>
      <c r="G388" t="s">
        <v>2439</v>
      </c>
      <c r="H388" t="s">
        <v>2440</v>
      </c>
      <c r="I388" t="s">
        <v>188</v>
      </c>
      <c r="J388" s="12">
        <v>330</v>
      </c>
      <c r="K388" s="12">
        <v>49</v>
      </c>
      <c r="L388" s="12">
        <v>9</v>
      </c>
      <c r="M388" s="12">
        <v>11</v>
      </c>
      <c r="N388" s="12"/>
      <c r="O388" t="s">
        <v>1216</v>
      </c>
      <c r="P388" t="s">
        <v>1275</v>
      </c>
      <c r="Q388" t="s">
        <v>2441</v>
      </c>
    </row>
    <row r="389" spans="1:17" ht="120" customHeight="1">
      <c r="A389" t="s">
        <v>2442</v>
      </c>
      <c r="B389" t="s">
        <v>2443</v>
      </c>
      <c r="C389" t="s">
        <v>1168</v>
      </c>
      <c r="D389" t="s">
        <v>1205</v>
      </c>
      <c r="E389" t="s">
        <v>74</v>
      </c>
      <c r="F389" t="s">
        <v>22</v>
      </c>
      <c r="G389" t="s">
        <v>2444</v>
      </c>
      <c r="H389" t="s">
        <v>2445</v>
      </c>
      <c r="I389" t="s">
        <v>188</v>
      </c>
      <c r="J389" s="12">
        <v>310</v>
      </c>
      <c r="K389" s="12">
        <v>36</v>
      </c>
      <c r="L389" s="12">
        <v>25</v>
      </c>
      <c r="M389" s="12">
        <v>8</v>
      </c>
      <c r="N389" s="12">
        <v>4</v>
      </c>
      <c r="O389" t="s">
        <v>1216</v>
      </c>
      <c r="P389" t="s">
        <v>1275</v>
      </c>
      <c r="Q389" t="s">
        <v>2446</v>
      </c>
    </row>
    <row r="390" spans="1:17" ht="120" customHeight="1">
      <c r="A390" t="s">
        <v>2447</v>
      </c>
      <c r="B390" t="s">
        <v>2448</v>
      </c>
      <c r="C390" t="s">
        <v>1168</v>
      </c>
      <c r="D390" t="s">
        <v>1205</v>
      </c>
      <c r="E390" t="s">
        <v>1794</v>
      </c>
      <c r="F390" t="s">
        <v>1794</v>
      </c>
      <c r="G390" t="s">
        <v>2449</v>
      </c>
      <c r="H390" t="s">
        <v>2450</v>
      </c>
      <c r="I390" t="s">
        <v>188</v>
      </c>
      <c r="J390" s="12">
        <v>330</v>
      </c>
      <c r="K390" s="12">
        <v>32</v>
      </c>
      <c r="L390" s="12">
        <v>28</v>
      </c>
      <c r="M390" s="12">
        <v>11</v>
      </c>
      <c r="N390" s="12">
        <v>5</v>
      </c>
      <c r="O390" t="s">
        <v>1216</v>
      </c>
      <c r="P390" t="s">
        <v>1275</v>
      </c>
      <c r="Q390" t="s">
        <v>2451</v>
      </c>
    </row>
    <row r="391" spans="1:17" ht="120" customHeight="1">
      <c r="A391" t="s">
        <v>2452</v>
      </c>
      <c r="B391" t="s">
        <v>2453</v>
      </c>
      <c r="C391" t="s">
        <v>1168</v>
      </c>
      <c r="D391" t="s">
        <v>1205</v>
      </c>
      <c r="E391" t="s">
        <v>1794</v>
      </c>
      <c r="F391" t="s">
        <v>1794</v>
      </c>
      <c r="G391" t="s">
        <v>2454</v>
      </c>
      <c r="H391" t="s">
        <v>2455</v>
      </c>
      <c r="I391" t="s">
        <v>188</v>
      </c>
      <c r="J391" s="12">
        <v>390</v>
      </c>
      <c r="K391" s="12">
        <v>32</v>
      </c>
      <c r="L391" s="12">
        <v>30</v>
      </c>
      <c r="M391" s="12">
        <v>16</v>
      </c>
      <c r="N391" s="12"/>
      <c r="O391" t="s">
        <v>1216</v>
      </c>
      <c r="P391" t="s">
        <v>1275</v>
      </c>
      <c r="Q391" t="s">
        <v>2456</v>
      </c>
    </row>
    <row r="392" spans="1:17" ht="120" customHeight="1">
      <c r="A392" t="s">
        <v>2457</v>
      </c>
      <c r="B392" t="s">
        <v>2458</v>
      </c>
      <c r="C392" t="s">
        <v>1168</v>
      </c>
      <c r="D392" t="s">
        <v>1279</v>
      </c>
      <c r="E392" t="s">
        <v>1794</v>
      </c>
      <c r="F392" t="s">
        <v>1794</v>
      </c>
      <c r="G392" t="s">
        <v>2459</v>
      </c>
      <c r="H392" t="s">
        <v>2460</v>
      </c>
      <c r="I392" t="s">
        <v>188</v>
      </c>
      <c r="J392" s="12">
        <v>310</v>
      </c>
      <c r="K392" s="12">
        <v>37</v>
      </c>
      <c r="L392" s="12">
        <v>19</v>
      </c>
      <c r="M392" s="12">
        <v>9</v>
      </c>
      <c r="N392" s="12"/>
      <c r="O392" t="s">
        <v>1216</v>
      </c>
      <c r="P392" t="s">
        <v>1275</v>
      </c>
      <c r="Q392" t="s">
        <v>2461</v>
      </c>
    </row>
    <row r="393" spans="1:17" ht="120" customHeight="1">
      <c r="A393" t="s">
        <v>2462</v>
      </c>
      <c r="B393" t="s">
        <v>2463</v>
      </c>
      <c r="C393" t="s">
        <v>1168</v>
      </c>
      <c r="D393" t="s">
        <v>1279</v>
      </c>
      <c r="E393" t="s">
        <v>1794</v>
      </c>
      <c r="F393" t="s">
        <v>1794</v>
      </c>
      <c r="G393" t="s">
        <v>2464</v>
      </c>
      <c r="H393" t="s">
        <v>2465</v>
      </c>
      <c r="I393" t="s">
        <v>188</v>
      </c>
      <c r="J393" s="12">
        <v>265</v>
      </c>
      <c r="K393" s="12">
        <v>39</v>
      </c>
      <c r="L393" s="12">
        <v>4</v>
      </c>
      <c r="M393" s="12">
        <v>10</v>
      </c>
      <c r="N393" s="12"/>
      <c r="O393" t="s">
        <v>1216</v>
      </c>
      <c r="P393" t="s">
        <v>1275</v>
      </c>
      <c r="Q393" t="s">
        <v>2466</v>
      </c>
    </row>
    <row r="394" spans="1:17" ht="120" customHeight="1">
      <c r="A394" t="s">
        <v>2467</v>
      </c>
      <c r="B394" t="s">
        <v>2468</v>
      </c>
      <c r="C394" t="s">
        <v>1168</v>
      </c>
      <c r="D394" t="s">
        <v>1205</v>
      </c>
      <c r="E394" t="s">
        <v>1794</v>
      </c>
      <c r="F394" t="s">
        <v>1794</v>
      </c>
      <c r="G394" t="s">
        <v>2469</v>
      </c>
      <c r="H394" t="s">
        <v>2470</v>
      </c>
      <c r="I394" t="s">
        <v>188</v>
      </c>
      <c r="J394" s="12">
        <v>280</v>
      </c>
      <c r="K394" s="12">
        <v>31</v>
      </c>
      <c r="L394" s="12">
        <v>22</v>
      </c>
      <c r="M394" s="12">
        <v>8</v>
      </c>
      <c r="N394" s="12"/>
      <c r="O394" t="s">
        <v>1216</v>
      </c>
      <c r="P394" t="s">
        <v>1275</v>
      </c>
      <c r="Q394" t="s">
        <v>2471</v>
      </c>
    </row>
    <row r="395" spans="1:17" ht="120" customHeight="1">
      <c r="A395" t="s">
        <v>2472</v>
      </c>
      <c r="B395" t="s">
        <v>2473</v>
      </c>
      <c r="C395" t="s">
        <v>1168</v>
      </c>
      <c r="D395" t="s">
        <v>1279</v>
      </c>
      <c r="E395" t="s">
        <v>1794</v>
      </c>
      <c r="F395" t="s">
        <v>1794</v>
      </c>
      <c r="G395" t="s">
        <v>2474</v>
      </c>
      <c r="H395" t="s">
        <v>2475</v>
      </c>
      <c r="I395" t="s">
        <v>188</v>
      </c>
      <c r="J395" s="12">
        <v>300</v>
      </c>
      <c r="K395" s="12">
        <v>34</v>
      </c>
      <c r="L395" s="12">
        <v>27</v>
      </c>
      <c r="M395" s="12">
        <v>6</v>
      </c>
      <c r="N395" s="12"/>
      <c r="O395" t="s">
        <v>1216</v>
      </c>
      <c r="P395" t="s">
        <v>1275</v>
      </c>
      <c r="Q395" t="s">
        <v>2476</v>
      </c>
    </row>
    <row r="396" spans="1:17" ht="120" customHeight="1">
      <c r="A396" t="s">
        <v>2477</v>
      </c>
      <c r="B396" t="s">
        <v>2478</v>
      </c>
      <c r="C396" t="s">
        <v>1168</v>
      </c>
      <c r="D396" t="s">
        <v>1279</v>
      </c>
      <c r="E396" t="s">
        <v>1794</v>
      </c>
      <c r="F396" t="s">
        <v>1794</v>
      </c>
      <c r="G396" t="s">
        <v>2479</v>
      </c>
      <c r="H396" t="s">
        <v>2480</v>
      </c>
      <c r="I396" t="s">
        <v>188</v>
      </c>
      <c r="J396" s="12">
        <v>275</v>
      </c>
      <c r="K396" s="12">
        <v>40</v>
      </c>
      <c r="L396" s="12">
        <v>5</v>
      </c>
      <c r="M396" s="12">
        <v>10</v>
      </c>
      <c r="N396" s="12"/>
      <c r="O396" t="s">
        <v>1216</v>
      </c>
      <c r="P396" t="s">
        <v>1275</v>
      </c>
      <c r="Q396" t="s">
        <v>2481</v>
      </c>
    </row>
    <row r="397" spans="1:17" ht="120" customHeight="1">
      <c r="A397" t="s">
        <v>2482</v>
      </c>
      <c r="B397" t="s">
        <v>2483</v>
      </c>
      <c r="C397" t="s">
        <v>1168</v>
      </c>
      <c r="D397" t="s">
        <v>1279</v>
      </c>
      <c r="E397" t="s">
        <v>1794</v>
      </c>
      <c r="F397" t="s">
        <v>1794</v>
      </c>
      <c r="G397" t="s">
        <v>2484</v>
      </c>
      <c r="H397" t="s">
        <v>2485</v>
      </c>
      <c r="I397" t="s">
        <v>188</v>
      </c>
      <c r="J397" s="12">
        <v>330</v>
      </c>
      <c r="K397" s="12">
        <v>35</v>
      </c>
      <c r="L397" s="12">
        <v>23</v>
      </c>
      <c r="M397" s="12">
        <v>11</v>
      </c>
      <c r="N397" s="12"/>
      <c r="O397" t="s">
        <v>1216</v>
      </c>
      <c r="P397" t="s">
        <v>1275</v>
      </c>
      <c r="Q397" t="s">
        <v>2486</v>
      </c>
    </row>
    <row r="398" spans="1:17" ht="120" customHeight="1">
      <c r="A398" t="s">
        <v>2487</v>
      </c>
      <c r="B398" t="s">
        <v>2488</v>
      </c>
      <c r="C398" t="s">
        <v>1168</v>
      </c>
      <c r="D398" t="s">
        <v>1279</v>
      </c>
      <c r="E398" t="s">
        <v>1794</v>
      </c>
      <c r="F398" t="s">
        <v>1794</v>
      </c>
      <c r="G398" t="s">
        <v>2489</v>
      </c>
      <c r="H398" t="s">
        <v>2490</v>
      </c>
      <c r="I398" t="s">
        <v>188</v>
      </c>
      <c r="J398" s="12">
        <v>340</v>
      </c>
      <c r="K398" s="12">
        <v>34</v>
      </c>
      <c r="L398" s="12">
        <v>10</v>
      </c>
      <c r="M398" s="12">
        <v>18</v>
      </c>
      <c r="N398" s="12"/>
      <c r="O398" t="s">
        <v>1216</v>
      </c>
      <c r="P398" t="s">
        <v>1275</v>
      </c>
      <c r="Q398" t="s">
        <v>2491</v>
      </c>
    </row>
    <row r="399" spans="1:17" ht="120" customHeight="1">
      <c r="A399" t="s">
        <v>2492</v>
      </c>
      <c r="B399" t="s">
        <v>2493</v>
      </c>
      <c r="C399" t="s">
        <v>897</v>
      </c>
      <c r="D399" t="s">
        <v>1279</v>
      </c>
      <c r="E399" t="s">
        <v>1794</v>
      </c>
      <c r="F399" t="s">
        <v>1794</v>
      </c>
      <c r="G399" t="s">
        <v>2494</v>
      </c>
      <c r="H399" t="s">
        <v>2495</v>
      </c>
      <c r="I399" t="s">
        <v>188</v>
      </c>
      <c r="J399" s="12">
        <v>230</v>
      </c>
      <c r="K399" s="12">
        <v>32</v>
      </c>
      <c r="L399" s="12">
        <v>18</v>
      </c>
      <c r="M399" s="12">
        <v>4</v>
      </c>
      <c r="N399" s="12">
        <v>3</v>
      </c>
      <c r="O399" t="s">
        <v>1216</v>
      </c>
      <c r="P399" t="s">
        <v>1275</v>
      </c>
      <c r="Q399" t="s">
        <v>2496</v>
      </c>
    </row>
    <row r="400" spans="1:17" ht="120" customHeight="1">
      <c r="A400" t="s">
        <v>2497</v>
      </c>
      <c r="B400" t="s">
        <v>2498</v>
      </c>
      <c r="C400" t="s">
        <v>897</v>
      </c>
      <c r="D400" t="s">
        <v>1279</v>
      </c>
      <c r="E400" t="s">
        <v>1794</v>
      </c>
      <c r="F400" t="s">
        <v>1794</v>
      </c>
      <c r="G400" t="s">
        <v>2499</v>
      </c>
      <c r="H400" t="s">
        <v>2500</v>
      </c>
      <c r="I400" t="s">
        <v>188</v>
      </c>
      <c r="J400" s="12">
        <v>200</v>
      </c>
      <c r="K400" s="12">
        <v>31</v>
      </c>
      <c r="L400" s="12">
        <v>12</v>
      </c>
      <c r="M400" s="12">
        <v>3</v>
      </c>
      <c r="N400" s="12"/>
      <c r="O400" t="s">
        <v>1216</v>
      </c>
      <c r="P400" t="s">
        <v>1275</v>
      </c>
      <c r="Q400" t="s">
        <v>2501</v>
      </c>
    </row>
    <row r="401" spans="1:17" ht="120" customHeight="1">
      <c r="A401" t="s">
        <v>2502</v>
      </c>
      <c r="B401" t="s">
        <v>2503</v>
      </c>
      <c r="C401" t="s">
        <v>897</v>
      </c>
      <c r="D401" t="s">
        <v>1279</v>
      </c>
      <c r="E401" t="s">
        <v>1794</v>
      </c>
      <c r="F401" t="s">
        <v>1794</v>
      </c>
      <c r="G401" t="s">
        <v>2504</v>
      </c>
      <c r="H401" t="s">
        <v>2505</v>
      </c>
      <c r="I401" t="s">
        <v>188</v>
      </c>
      <c r="J401" s="12">
        <v>250</v>
      </c>
      <c r="K401" s="12">
        <v>35</v>
      </c>
      <c r="L401" s="12">
        <v>20</v>
      </c>
      <c r="M401" s="12">
        <v>4</v>
      </c>
      <c r="N401" s="12"/>
      <c r="O401" t="s">
        <v>1216</v>
      </c>
      <c r="P401" t="s">
        <v>1275</v>
      </c>
      <c r="Q401" t="s">
        <v>2506</v>
      </c>
    </row>
    <row r="402" spans="1:17" ht="120" customHeight="1">
      <c r="A402" t="s">
        <v>2507</v>
      </c>
      <c r="B402" t="s">
        <v>2508</v>
      </c>
      <c r="C402" t="s">
        <v>897</v>
      </c>
      <c r="D402" t="s">
        <v>1279</v>
      </c>
      <c r="E402" t="s">
        <v>1794</v>
      </c>
      <c r="F402" t="s">
        <v>1794</v>
      </c>
      <c r="G402" t="s">
        <v>2509</v>
      </c>
      <c r="H402" t="s">
        <v>2510</v>
      </c>
      <c r="I402" t="s">
        <v>188</v>
      </c>
      <c r="J402" s="12">
        <v>265</v>
      </c>
      <c r="K402" s="12">
        <v>31</v>
      </c>
      <c r="L402" s="12">
        <v>31</v>
      </c>
      <c r="M402" s="12">
        <v>3</v>
      </c>
      <c r="N402" s="12"/>
      <c r="O402" t="s">
        <v>1216</v>
      </c>
      <c r="P402" t="s">
        <v>1275</v>
      </c>
      <c r="Q402" t="s">
        <v>2511</v>
      </c>
    </row>
    <row r="403" spans="1:17" ht="120" customHeight="1">
      <c r="A403" t="s">
        <v>2512</v>
      </c>
      <c r="B403" t="s">
        <v>2513</v>
      </c>
      <c r="C403" t="s">
        <v>897</v>
      </c>
      <c r="D403" t="s">
        <v>1279</v>
      </c>
      <c r="E403" t="s">
        <v>1794</v>
      </c>
      <c r="F403" t="s">
        <v>1794</v>
      </c>
      <c r="G403" t="s">
        <v>2514</v>
      </c>
      <c r="H403" t="s">
        <v>2515</v>
      </c>
      <c r="I403" t="s">
        <v>188</v>
      </c>
      <c r="J403" s="12">
        <v>225</v>
      </c>
      <c r="K403" s="12">
        <v>31</v>
      </c>
      <c r="L403" s="12">
        <v>14</v>
      </c>
      <c r="M403" s="12">
        <v>5</v>
      </c>
      <c r="N403" s="12">
        <v>3</v>
      </c>
      <c r="O403" t="s">
        <v>1216</v>
      </c>
      <c r="P403" t="s">
        <v>1275</v>
      </c>
      <c r="Q403" t="s">
        <v>2516</v>
      </c>
    </row>
    <row r="404" spans="1:17" ht="120" customHeight="1">
      <c r="A404" t="s">
        <v>2517</v>
      </c>
      <c r="B404" t="s">
        <v>2518</v>
      </c>
      <c r="C404" t="s">
        <v>1168</v>
      </c>
      <c r="D404" t="s">
        <v>1279</v>
      </c>
      <c r="E404" t="s">
        <v>1794</v>
      </c>
      <c r="F404" t="s">
        <v>1794</v>
      </c>
      <c r="G404" t="s">
        <v>2519</v>
      </c>
      <c r="H404" t="s">
        <v>2520</v>
      </c>
      <c r="I404" t="s">
        <v>188</v>
      </c>
      <c r="J404" s="12">
        <v>270</v>
      </c>
      <c r="K404" s="12">
        <v>31</v>
      </c>
      <c r="L404" s="12">
        <v>21</v>
      </c>
      <c r="M404" s="12">
        <v>7</v>
      </c>
      <c r="N404" s="12"/>
      <c r="O404" t="s">
        <v>1216</v>
      </c>
      <c r="P404" t="s">
        <v>1275</v>
      </c>
      <c r="Q404" t="s">
        <v>2521</v>
      </c>
    </row>
    <row r="405" spans="1:17" ht="120" customHeight="1">
      <c r="A405" t="s">
        <v>2522</v>
      </c>
      <c r="B405" t="s">
        <v>2523</v>
      </c>
      <c r="C405" t="s">
        <v>1168</v>
      </c>
      <c r="D405" t="s">
        <v>1279</v>
      </c>
      <c r="E405" t="s">
        <v>1794</v>
      </c>
      <c r="F405" t="s">
        <v>1794</v>
      </c>
      <c r="G405" t="s">
        <v>2524</v>
      </c>
      <c r="H405" t="s">
        <v>2525</v>
      </c>
      <c r="I405" t="s">
        <v>188</v>
      </c>
      <c r="J405" s="12">
        <v>270</v>
      </c>
      <c r="K405" s="12">
        <v>33</v>
      </c>
      <c r="L405" s="12">
        <v>28</v>
      </c>
      <c r="M405" s="12">
        <v>3</v>
      </c>
      <c r="N405" s="12"/>
      <c r="O405" t="s">
        <v>1216</v>
      </c>
      <c r="P405" t="s">
        <v>1275</v>
      </c>
      <c r="Q405" t="s">
        <v>2526</v>
      </c>
    </row>
    <row r="406" spans="1:17" ht="120" customHeight="1">
      <c r="A406" t="s">
        <v>2527</v>
      </c>
      <c r="B406" t="s">
        <v>2528</v>
      </c>
      <c r="C406" t="s">
        <v>897</v>
      </c>
      <c r="D406" t="s">
        <v>1279</v>
      </c>
      <c r="E406" t="s">
        <v>1794</v>
      </c>
      <c r="F406" t="s">
        <v>1794</v>
      </c>
      <c r="G406" t="s">
        <v>2529</v>
      </c>
      <c r="H406" t="s">
        <v>2530</v>
      </c>
      <c r="I406" t="s">
        <v>188</v>
      </c>
      <c r="J406" s="12">
        <v>245</v>
      </c>
      <c r="K406" s="12">
        <v>31</v>
      </c>
      <c r="L406" s="12">
        <v>23</v>
      </c>
      <c r="M406" s="12">
        <v>5</v>
      </c>
      <c r="N406" s="12"/>
      <c r="O406" t="s">
        <v>1216</v>
      </c>
      <c r="P406" t="s">
        <v>1275</v>
      </c>
      <c r="Q406" t="s">
        <v>2531</v>
      </c>
    </row>
    <row r="407" spans="1:17" ht="120" customHeight="1">
      <c r="A407" t="s">
        <v>2532</v>
      </c>
      <c r="B407" t="s">
        <v>2533</v>
      </c>
      <c r="C407" t="s">
        <v>1168</v>
      </c>
      <c r="D407" t="s">
        <v>1279</v>
      </c>
      <c r="E407" t="s">
        <v>1794</v>
      </c>
      <c r="F407" t="s">
        <v>1794</v>
      </c>
      <c r="G407" t="s">
        <v>2534</v>
      </c>
      <c r="H407" t="s">
        <v>2535</v>
      </c>
      <c r="I407" t="s">
        <v>188</v>
      </c>
      <c r="J407" s="12">
        <v>290</v>
      </c>
      <c r="K407" s="12">
        <v>28</v>
      </c>
      <c r="L407" s="12">
        <v>27</v>
      </c>
      <c r="M407" s="12">
        <v>8</v>
      </c>
      <c r="N407" s="12"/>
      <c r="O407" t="s">
        <v>1216</v>
      </c>
      <c r="P407" t="s">
        <v>1275</v>
      </c>
      <c r="Q407" t="s">
        <v>2536</v>
      </c>
    </row>
    <row r="408" spans="1:17" ht="120" customHeight="1">
      <c r="A408" t="s">
        <v>2537</v>
      </c>
      <c r="B408" t="s">
        <v>2538</v>
      </c>
      <c r="C408" t="s">
        <v>897</v>
      </c>
      <c r="D408" t="s">
        <v>1279</v>
      </c>
      <c r="E408" t="s">
        <v>1794</v>
      </c>
      <c r="F408" t="s">
        <v>1794</v>
      </c>
      <c r="G408" t="s">
        <v>2539</v>
      </c>
      <c r="H408" t="s">
        <v>2540</v>
      </c>
      <c r="I408" t="s">
        <v>188</v>
      </c>
      <c r="J408" s="12">
        <v>240</v>
      </c>
      <c r="K408" s="12">
        <v>31</v>
      </c>
      <c r="L408" s="12">
        <v>21</v>
      </c>
      <c r="M408" s="12">
        <v>4</v>
      </c>
      <c r="N408" s="12"/>
      <c r="O408" t="s">
        <v>1216</v>
      </c>
      <c r="P408" t="s">
        <v>1275</v>
      </c>
      <c r="Q408" t="s">
        <v>2541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showGridLines="0" workbookViewId="0"/>
  </sheetViews>
  <sheetFormatPr baseColWidth="10" defaultColWidth="8.83203125" defaultRowHeight="15"/>
  <cols>
    <col min="1" max="1" width="25" customWidth="1"/>
    <col min="2" max="2" width="16" customWidth="1"/>
    <col min="3" max="3" width="4" customWidth="1"/>
    <col min="4" max="4" width="24" customWidth="1"/>
    <col min="5" max="8" width="12" customWidth="1"/>
  </cols>
  <sheetData>
    <row r="1" spans="1:8" ht="36" customHeight="1">
      <c r="A1" s="13" t="s">
        <v>1159</v>
      </c>
      <c r="B1" s="13"/>
      <c r="C1" s="13"/>
      <c r="D1" s="13"/>
      <c r="E1" s="13"/>
      <c r="F1" s="13"/>
      <c r="G1" s="13"/>
      <c r="H1" s="13"/>
    </row>
    <row r="2" spans="1:8" ht="24" customHeight="1">
      <c r="A2" s="14"/>
      <c r="B2" s="14"/>
      <c r="C2" s="14"/>
      <c r="D2" s="14"/>
      <c r="E2" s="14"/>
      <c r="F2" s="14"/>
      <c r="G2" s="14"/>
      <c r="H2" s="14"/>
    </row>
    <row r="3" spans="1:8" ht="24" customHeight="1"/>
    <row r="4" spans="1:8" ht="24" customHeight="1">
      <c r="A4" s="6" t="s">
        <v>1160</v>
      </c>
      <c r="B4" s="6" t="s">
        <v>1161</v>
      </c>
      <c r="D4" s="6" t="s">
        <v>1162</v>
      </c>
      <c r="E4" s="6" t="s">
        <v>1163</v>
      </c>
    </row>
    <row r="5" spans="1:8" ht="24" customHeight="1">
      <c r="A5" t="s">
        <v>1164</v>
      </c>
      <c r="B5">
        <f>COUNTA(Receitas_App!$A$2:$A$408)</f>
        <v>407</v>
      </c>
      <c r="D5" t="s">
        <v>407</v>
      </c>
      <c r="E5">
        <f>COUNTIF(Receitas_App!$C$2:$C$408,"*Café da manhã*")</f>
        <v>72</v>
      </c>
    </row>
    <row r="6" spans="1:8" ht="24" customHeight="1">
      <c r="A6" t="s">
        <v>1165</v>
      </c>
      <c r="B6">
        <f>COUNT(Receitas_App!$J$2:$J$408)</f>
        <v>407</v>
      </c>
      <c r="D6" t="s">
        <v>1166</v>
      </c>
      <c r="E6">
        <f>COUNTIF(Receitas_App!$C$2:$C$408,"*Almoço*")</f>
        <v>224</v>
      </c>
    </row>
    <row r="7" spans="1:8" ht="24" customHeight="1">
      <c r="A7" t="s">
        <v>1167</v>
      </c>
      <c r="B7">
        <f>B5-B6</f>
        <v>0</v>
      </c>
      <c r="D7" t="s">
        <v>1168</v>
      </c>
      <c r="E7">
        <f>COUNTIF(Receitas_App!$C$2:$C$408,"*Lanche*")</f>
        <v>132</v>
      </c>
    </row>
    <row r="8" spans="1:8" ht="24" customHeight="1">
      <c r="A8" t="s">
        <v>1169</v>
      </c>
      <c r="B8">
        <f>COUNT(Receitas_App!$J$2:$J$408)</f>
        <v>407</v>
      </c>
      <c r="D8" t="s">
        <v>1170</v>
      </c>
      <c r="E8">
        <f>COUNTIF(Receitas_App!$C$2:$C$408,"*Jantar*")</f>
        <v>216</v>
      </c>
    </row>
    <row r="9" spans="1:8" ht="24" customHeight="1">
      <c r="D9" t="s">
        <v>1171</v>
      </c>
      <c r="E9">
        <f>COUNTIF(Receitas_App!$C$2:$C$408,"*Pré*")</f>
        <v>5</v>
      </c>
    </row>
    <row r="10" spans="1:8" ht="24" customHeight="1">
      <c r="D10" t="s">
        <v>1172</v>
      </c>
      <c r="E10">
        <f>COUNTIF(Receitas_App!$C$2:$C$408,"*Pós*")</f>
        <v>11</v>
      </c>
    </row>
    <row r="11" spans="1:8" ht="24" customHeight="1"/>
    <row r="12" spans="1:8" ht="32" customHeight="1">
      <c r="A12" s="15" t="s">
        <v>1173</v>
      </c>
      <c r="B12" s="16"/>
      <c r="C12" s="16"/>
      <c r="D12" s="16"/>
      <c r="E12" s="16"/>
      <c r="F12" s="16"/>
      <c r="G12" s="16"/>
      <c r="H12" s="17"/>
    </row>
    <row r="13" spans="1:8" ht="32" customHeight="1">
      <c r="A13" s="18"/>
      <c r="B13" s="19"/>
      <c r="C13" s="19"/>
      <c r="D13" s="19"/>
      <c r="E13" s="19"/>
      <c r="F13" s="19"/>
      <c r="G13" s="19"/>
      <c r="H13" s="20"/>
    </row>
    <row r="14" spans="1:8" ht="32" customHeight="1">
      <c r="A14" s="18"/>
      <c r="B14" s="19"/>
      <c r="C14" s="19"/>
      <c r="D14" s="19"/>
      <c r="E14" s="19"/>
      <c r="F14" s="19"/>
      <c r="G14" s="19"/>
      <c r="H14" s="20"/>
    </row>
    <row r="15" spans="1:8" ht="32" customHeight="1">
      <c r="A15" s="21"/>
      <c r="B15" s="22"/>
      <c r="C15" s="22"/>
      <c r="D15" s="22"/>
      <c r="E15" s="22"/>
      <c r="F15" s="22"/>
      <c r="G15" s="22"/>
      <c r="H15" s="23"/>
    </row>
  </sheetData>
  <mergeCells count="3">
    <mergeCell ref="A1:H1"/>
    <mergeCell ref="A2:H2"/>
    <mergeCell ref="A12: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
  <sheetViews>
    <sheetView showGridLines="0" workbookViewId="0"/>
  </sheetViews>
  <sheetFormatPr baseColWidth="10" defaultColWidth="8.83203125" defaultRowHeight="15"/>
  <cols>
    <col min="1" max="1" width="7" customWidth="1"/>
    <col min="2" max="2" width="30" customWidth="1"/>
    <col min="3" max="3" width="18" customWidth="1"/>
  </cols>
  <sheetData>
    <row r="1" spans="1:3" ht="16">
      <c r="A1" s="7" t="s">
        <v>1174</v>
      </c>
      <c r="B1" s="7" t="s">
        <v>1175</v>
      </c>
      <c r="C1" s="7" t="s">
        <v>1176</v>
      </c>
    </row>
    <row r="2" spans="1:3" ht="16">
      <c r="A2" s="8">
        <v>1</v>
      </c>
      <c r="B2" s="8" t="s">
        <v>0</v>
      </c>
      <c r="C2" s="8" t="s">
        <v>1177</v>
      </c>
    </row>
    <row r="3" spans="1:3" ht="16">
      <c r="A3" s="8">
        <v>2</v>
      </c>
      <c r="B3" s="8" t="s">
        <v>1178</v>
      </c>
      <c r="C3" s="8" t="s">
        <v>1179</v>
      </c>
    </row>
    <row r="4" spans="1:3" ht="16">
      <c r="A4" s="8">
        <v>3</v>
      </c>
      <c r="B4" s="8" t="s">
        <v>1180</v>
      </c>
      <c r="C4" s="8" t="s">
        <v>1181</v>
      </c>
    </row>
    <row r="5" spans="1:3" ht="16">
      <c r="A5" s="8">
        <v>4</v>
      </c>
      <c r="B5" s="8" t="s">
        <v>1182</v>
      </c>
      <c r="C5" s="8" t="s">
        <v>1177</v>
      </c>
    </row>
    <row r="6" spans="1:3" ht="16">
      <c r="A6" s="8">
        <v>5</v>
      </c>
      <c r="B6" s="8" t="s">
        <v>1</v>
      </c>
      <c r="C6" s="8" t="s">
        <v>1177</v>
      </c>
    </row>
    <row r="7" spans="1:3" ht="16">
      <c r="A7" s="8">
        <v>6</v>
      </c>
      <c r="B7" s="8" t="s">
        <v>2</v>
      </c>
      <c r="C7" s="8" t="s">
        <v>1183</v>
      </c>
    </row>
    <row r="8" spans="1:3" ht="16">
      <c r="A8" s="8">
        <v>7</v>
      </c>
      <c r="B8" s="8" t="s">
        <v>3</v>
      </c>
      <c r="C8" s="8" t="s">
        <v>1183</v>
      </c>
    </row>
    <row r="9" spans="1:3" ht="16">
      <c r="A9" s="8">
        <v>8</v>
      </c>
      <c r="B9" s="8" t="s">
        <v>4</v>
      </c>
      <c r="C9" s="8" t="s">
        <v>1177</v>
      </c>
    </row>
    <row r="10" spans="1:3" ht="16">
      <c r="A10" s="8">
        <v>9</v>
      </c>
      <c r="B10" s="8" t="s">
        <v>1184</v>
      </c>
      <c r="C10" s="8" t="s">
        <v>1177</v>
      </c>
    </row>
    <row r="11" spans="1:3" ht="16">
      <c r="A11" s="8">
        <v>10</v>
      </c>
      <c r="B11" s="8" t="s">
        <v>5</v>
      </c>
      <c r="C11" s="8" t="s">
        <v>1185</v>
      </c>
    </row>
    <row r="12" spans="1:3" ht="16">
      <c r="A12" s="8">
        <v>11</v>
      </c>
      <c r="B12" s="8" t="s">
        <v>6</v>
      </c>
      <c r="C12" s="8" t="s">
        <v>1186</v>
      </c>
    </row>
    <row r="13" spans="1:3" ht="16">
      <c r="A13" s="8">
        <v>12</v>
      </c>
      <c r="B13" s="8" t="s">
        <v>7</v>
      </c>
      <c r="C13" s="8" t="s">
        <v>1186</v>
      </c>
    </row>
    <row r="14" spans="1:3" ht="16">
      <c r="A14" s="8">
        <v>13</v>
      </c>
      <c r="B14" s="8" t="s">
        <v>8</v>
      </c>
      <c r="C14" s="8" t="s">
        <v>1177</v>
      </c>
    </row>
    <row r="15" spans="1:3" ht="16">
      <c r="A15" s="8">
        <v>14</v>
      </c>
      <c r="B15" s="8" t="s">
        <v>1187</v>
      </c>
      <c r="C15" s="8" t="s">
        <v>1188</v>
      </c>
    </row>
    <row r="16" spans="1:3" ht="16">
      <c r="A16" s="8">
        <v>15</v>
      </c>
      <c r="B16" s="8" t="s">
        <v>1189</v>
      </c>
      <c r="C16" s="8" t="s">
        <v>1188</v>
      </c>
    </row>
    <row r="17" spans="1:3" ht="16">
      <c r="A17" s="8">
        <v>16</v>
      </c>
      <c r="B17" s="8" t="s">
        <v>9</v>
      </c>
      <c r="C17" s="8" t="s">
        <v>1188</v>
      </c>
    </row>
    <row r="18" spans="1:3" ht="16">
      <c r="A18" s="8">
        <v>17</v>
      </c>
      <c r="B18" s="8" t="s">
        <v>10</v>
      </c>
      <c r="C18" s="8" t="s">
        <v>1188</v>
      </c>
    </row>
    <row r="19" spans="1:3" ht="16">
      <c r="A19" s="8">
        <v>18</v>
      </c>
      <c r="B19" s="8" t="s">
        <v>11</v>
      </c>
      <c r="C19" s="8" t="s">
        <v>1188</v>
      </c>
    </row>
    <row r="20" spans="1:3" ht="16">
      <c r="A20" s="8">
        <v>19</v>
      </c>
      <c r="B20" s="8" t="s">
        <v>12</v>
      </c>
      <c r="C20" s="8" t="s">
        <v>1188</v>
      </c>
    </row>
    <row r="21" spans="1:3" ht="16">
      <c r="A21" s="8">
        <v>20</v>
      </c>
      <c r="B21" s="8" t="s">
        <v>13</v>
      </c>
      <c r="C21" s="8" t="s">
        <v>1188</v>
      </c>
    </row>
    <row r="22" spans="1:3" ht="16">
      <c r="A22" s="8">
        <v>21</v>
      </c>
      <c r="B22" s="8" t="s">
        <v>1190</v>
      </c>
      <c r="C22" s="8" t="s">
        <v>1177</v>
      </c>
    </row>
    <row r="23" spans="1:3" ht="16">
      <c r="A23" s="8">
        <v>22</v>
      </c>
      <c r="B23" s="8" t="s">
        <v>14</v>
      </c>
      <c r="C23" s="8" t="s">
        <v>1177</v>
      </c>
    </row>
    <row r="24" spans="1:3" ht="16">
      <c r="A24" s="8">
        <v>23</v>
      </c>
      <c r="B24" s="8" t="s">
        <v>1191</v>
      </c>
      <c r="C24" s="8" t="s">
        <v>1177</v>
      </c>
    </row>
    <row r="25" spans="1:3" ht="16">
      <c r="A25" s="8">
        <v>24</v>
      </c>
      <c r="B25" s="8" t="s">
        <v>15</v>
      </c>
      <c r="C25" s="8" t="s">
        <v>1186</v>
      </c>
    </row>
    <row r="26" spans="1:3" ht="16">
      <c r="A26" s="8">
        <v>25</v>
      </c>
      <c r="B26" s="8" t="s">
        <v>16</v>
      </c>
      <c r="C26" s="8" t="s">
        <v>1186</v>
      </c>
    </row>
    <row r="27" spans="1:3" ht="16">
      <c r="A27" s="8">
        <v>26</v>
      </c>
      <c r="B27" s="8" t="s">
        <v>1192</v>
      </c>
      <c r="C27" s="8" t="s">
        <v>1177</v>
      </c>
    </row>
    <row r="28" spans="1:3" ht="16">
      <c r="A28" s="8">
        <v>27</v>
      </c>
      <c r="B28" s="8" t="s">
        <v>1193</v>
      </c>
      <c r="C28" s="8" t="s">
        <v>1177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showGridLines="0" workbookViewId="0"/>
  </sheetViews>
  <sheetFormatPr baseColWidth="10" defaultColWidth="8.83203125" defaultRowHeight="15"/>
  <cols>
    <col min="1" max="4" width="28" customWidth="1"/>
  </cols>
  <sheetData>
    <row r="1" spans="1:4" ht="32">
      <c r="A1" s="7" t="s">
        <v>1194</v>
      </c>
      <c r="B1" s="7" t="s">
        <v>5</v>
      </c>
      <c r="C1" s="7" t="s">
        <v>1195</v>
      </c>
      <c r="D1" s="7" t="s">
        <v>1196</v>
      </c>
    </row>
    <row r="2" spans="1:4">
      <c r="A2" t="s">
        <v>1197</v>
      </c>
      <c r="B2" t="s">
        <v>155</v>
      </c>
      <c r="C2" t="s">
        <v>407</v>
      </c>
      <c r="D2" t="s">
        <v>1198</v>
      </c>
    </row>
    <row r="3" spans="1:4">
      <c r="A3" t="s">
        <v>1199</v>
      </c>
      <c r="B3" t="s">
        <v>22</v>
      </c>
      <c r="C3" t="s">
        <v>1166</v>
      </c>
      <c r="D3" t="s">
        <v>1200</v>
      </c>
    </row>
    <row r="4" spans="1:4">
      <c r="A4" t="s">
        <v>1201</v>
      </c>
      <c r="B4" t="s">
        <v>84</v>
      </c>
      <c r="C4" t="s">
        <v>1168</v>
      </c>
      <c r="D4" t="s">
        <v>1202</v>
      </c>
    </row>
    <row r="5" spans="1:4">
      <c r="C5" t="s">
        <v>1171</v>
      </c>
      <c r="D5" t="s">
        <v>1203</v>
      </c>
    </row>
    <row r="6" spans="1:4">
      <c r="C6" t="s">
        <v>1172</v>
      </c>
      <c r="D6" t="s">
        <v>1204</v>
      </c>
    </row>
    <row r="7" spans="1:4">
      <c r="C7" t="s">
        <v>1170</v>
      </c>
      <c r="D7" t="s">
        <v>1205</v>
      </c>
    </row>
    <row r="8" spans="1:4">
      <c r="C8" t="s">
        <v>1206</v>
      </c>
      <c r="D8" t="s">
        <v>1207</v>
      </c>
    </row>
    <row r="9" spans="1:4">
      <c r="D9" t="s">
        <v>1208</v>
      </c>
    </row>
    <row r="10" spans="1:4">
      <c r="D10" t="s">
        <v>1209</v>
      </c>
    </row>
    <row r="11" spans="1:4">
      <c r="D11" t="s">
        <v>1210</v>
      </c>
    </row>
    <row r="12" spans="1:4">
      <c r="D12" t="s">
        <v>1211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vt:i4>
      </vt:variant>
    </vt:vector>
  </HeadingPairs>
  <TitlesOfParts>
    <vt:vector size="4" baseType="lpstr">
      <vt:lpstr>Receitas_App</vt:lpstr>
      <vt:lpstr>Resumo_QA</vt:lpstr>
      <vt:lpstr>Dicionario_Campos</vt:lpstr>
      <vt:lpstr>Listas_Apoio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Ferreira</cp:lastModifiedBy>
  <dcterms:created xsi:type="dcterms:W3CDTF">2026-08-27T16:35:05Z</dcterms:created>
  <dcterms:modified xsi:type="dcterms:W3CDTF">2026-08-27T16:35:05Z</dcterms:modified>
</cp:coreProperties>
</file>