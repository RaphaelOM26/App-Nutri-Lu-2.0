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missas" state="visible" r:id="rId4"/>
    <sheet sheetId="2" name="Por paciente" state="visible" r:id="rId5"/>
    <sheet sheetId="3" name="Cenários" state="visible" r:id="rId6"/>
    <sheet sheetId="4" name="Fontes e decisões" state="visible" r:id="rId7"/>
  </sheets>
  <calcPr calcId="171027"/>
</workbook>
</file>

<file path=xl/sharedStrings.xml><?xml version="1.0" encoding="utf-8"?>
<sst xmlns="http://schemas.openxmlformats.org/spreadsheetml/2006/main" count="236" uniqueCount="201">
  <si>
    <t>Premissas (mude aqui; o resto recalcula)</t>
  </si>
  <si>
    <t>Preços coletados em 2026-09-17. Linhas marcadas "estimativa" são chute meu com base no uso esperado: ajuste quando tiver dado real.</t>
  </si>
  <si>
    <t>Premissa</t>
  </si>
  <si>
    <t>Valor</t>
  </si>
  <si>
    <t>Unidade</t>
  </si>
  <si>
    <t>De onde veio / observação</t>
  </si>
  <si>
    <t>Geral</t>
  </si>
  <si>
    <t>Câmbio (R$ por US$)</t>
  </si>
  <si>
    <t>R$/US$</t>
  </si>
  <si>
    <t>Estimativa: atualize pelo dia.</t>
  </si>
  <si>
    <t>Semanas por mês</t>
  </si>
  <si>
    <t>semanas</t>
  </si>
  <si>
    <t>Média do ano.</t>
  </si>
  <si>
    <t>OpenAI (modelo gpt-5.4-mini, o que o backend usa)</t>
  </si>
  <si>
    <t>Preço por 1 milhão de tokens de ENTRADA</t>
  </si>
  <si>
    <t>US$</t>
  </si>
  <si>
    <t>developers.openai.com/api/docs/pricing (17/09/2026).</t>
  </si>
  <si>
    <t>Preço por 1 milhão de tokens de SAÍDA</t>
  </si>
  <si>
    <t>Idem.</t>
  </si>
  <si>
    <t>Chat da Lu: mensagens por paciente por mês</t>
  </si>
  <si>
    <t>msgs</t>
  </si>
  <si>
    <t>Estimativa. Teto atual no backend: 60/dia e 600/mês por conta (limites.js).</t>
  </si>
  <si>
    <t>Chat da Lu: tokens de entrada por mensagem</t>
  </si>
  <si>
    <t>tokens</t>
  </si>
  <si>
    <t>Estimativa: prompt do sistema + contexto (perfil, plano, 40 receitas candidatas) + histórico.</t>
  </si>
  <si>
    <t>Chat da Lu: tokens de saída por mensagem</t>
  </si>
  <si>
    <t>Estimativa (resposta curta em JSON).</t>
  </si>
  <si>
    <t>Foto do prato por IA: análises por paciente por mês</t>
  </si>
  <si>
    <t>fotos</t>
  </si>
  <si>
    <t>Estimativa: 1/dia. Teto atual: 30/dia e 400/mês.</t>
  </si>
  <si>
    <t>Foto: tokens de entrada por análise</t>
  </si>
  <si>
    <t>Estimativa: imagem (~1.000) + prompt.</t>
  </si>
  <si>
    <t>Foto: tokens de saída por análise</t>
  </si>
  <si>
    <t>Estimativa (JSON com itens e macros).</t>
  </si>
  <si>
    <t>Resumo do dia / insight por IA: por paciente por mês</t>
  </si>
  <si>
    <t>chamadas</t>
  </si>
  <si>
    <t>Só existe no app de celular, que ninguém vai usar. Deixe 0; se a web ganhar isso, use 30.</t>
  </si>
  <si>
    <t>Resumo do dia: tokens de entrada</t>
  </si>
  <si>
    <t>Estimativa.</t>
  </si>
  <si>
    <t>Resumo do dia: tokens de saída</t>
  </si>
  <si>
    <t>Síntese do dashboard: chamadas por dia (custo global, não por paciente)</t>
  </si>
  <si>
    <t>1x/dia com cache (dashboard.js).</t>
  </si>
  <si>
    <t>Síntese: tokens de entrada por chamada</t>
  </si>
  <si>
    <t>Estimativa: amostra das respostas abertas não clínicas.</t>
  </si>
  <si>
    <t>Síntese: tokens de saída por chamada</t>
  </si>
  <si>
    <t>E-mail transacional</t>
  </si>
  <si>
    <t>E-mails por paciente por mês</t>
  </si>
  <si>
    <t>e-mails</t>
  </si>
  <si>
    <t>Estimativa: 4 códigos de login + 1 "plano pronto" + 2 recados.</t>
  </si>
  <si>
    <t>Provedor: plano até 50 mil e-mails/mês</t>
  </si>
  <si>
    <t>US$/mês</t>
  </si>
  <si>
    <t>Resend Pro (referência de mercado; Brevo/Postmark parecidos). Hoje o backend usa SMTP da caixa Titan, que NÃO serve pra volume: precisa trocar.</t>
  </si>
  <si>
    <t>Provedor: plano até 100 mil e-mails/mês</t>
  </si>
  <si>
    <t>Resend Scale.</t>
  </si>
  <si>
    <t>Acima de 100 mil: custo por e-mail adicional</t>
  </si>
  <si>
    <t>Estimativa a partir das faixas maiores; confirmar no provedor escolhido.</t>
  </si>
  <si>
    <t>Cloudflare R2 (fotos dos pratos e PDFs)</t>
  </si>
  <si>
    <t>Fotos enviadas por paciente por mês</t>
  </si>
  <si>
    <t>Estimativa: 1/dia.</t>
  </si>
  <si>
    <t>Tamanho médio da foto</t>
  </si>
  <si>
    <t>KB</t>
  </si>
  <si>
    <t>Estimativa: o app redimensiona antes de subir.</t>
  </si>
  <si>
    <t>Meses de fotos acumuladas (retenção)</t>
  </si>
  <si>
    <t>meses</t>
  </si>
  <si>
    <t>Estimativa: hoje nada é apagado. Definir política de retenção baixa o custo.</t>
  </si>
  <si>
    <t>Armazenamento</t>
  </si>
  <si>
    <t>US$/GB-mês</t>
  </si>
  <si>
    <t>developers.cloudflare.com/r2/pricing (10 GB grátis/mês).</t>
  </si>
  <si>
    <t>Operações classe A (upload)</t>
  </si>
  <si>
    <t>US$/milhão</t>
  </si>
  <si>
    <t>Idem (1 milhão grátis/mês).</t>
  </si>
  <si>
    <t>Operações classe B (leitura)</t>
  </si>
  <si>
    <t>Idem (10 milhões grátis/mês). Sem custo de saída de dados.</t>
  </si>
  <si>
    <t>Leituras por foto ao longo da vida</t>
  </si>
  <si>
    <t>leituras</t>
  </si>
  <si>
    <t>Estimativa (paciente + painel da nutri).</t>
  </si>
  <si>
    <t>Railway (API + Postgres)</t>
  </si>
  <si>
    <t>vCPU</t>
  </si>
  <si>
    <t>US$/vCPU-mês</t>
  </si>
  <si>
    <t>railway.com/pricing (17/09/2026).</t>
  </si>
  <si>
    <t>Memória</t>
  </si>
  <si>
    <t>Volume (disco do Postgres)</t>
  </si>
  <si>
    <t>Saída de dados</t>
  </si>
  <si>
    <t>US$/GB</t>
  </si>
  <si>
    <t>Plano Pro (por assento)</t>
  </si>
  <si>
    <t>Idem. Hoje está no Hobby (US$ 5, inclui US$ 5 de uso). Pro traz mais limite de recursos e suporte.</t>
  </si>
  <si>
    <t>WhatsApp (bot ainda não existe; deixe 0 até existir)</t>
  </si>
  <si>
    <t>Mensagens iniciadas pela empresa por paciente por mês</t>
  </si>
  <si>
    <t>Quando o bot existir, use ~10.</t>
  </si>
  <si>
    <t>Preço por mensagem utilitária no Brasil</t>
  </si>
  <si>
    <t>Estimativa pela tabela pública da Meta; confirmar na hora de contratar (BSP).</t>
  </si>
  <si>
    <t>Tempo da equipe (o gargalo real)</t>
  </si>
  <si>
    <t>Minutos da nutri por plano do mês (gerar, conferir, publicar)</t>
  </si>
  <si>
    <t>min</t>
  </si>
  <si>
    <t>Estimativa com o editor atual, revisando por exceção. Sem lote, é bem mais.</t>
  </si>
  <si>
    <t>Minutos por dúvida respondida</t>
  </si>
  <si>
    <t>Dúvidas por paciente por mês</t>
  </si>
  <si>
    <t>dúvidas</t>
  </si>
  <si>
    <t>Horas úteis de uma nutri por mês</t>
  </si>
  <si>
    <t>horas</t>
  </si>
  <si>
    <t>~7 h/dia × 20 dias.</t>
  </si>
  <si>
    <t>Receita (opcional: pra ver a margem)</t>
  </si>
  <si>
    <t>Ticket mensal por paciente</t>
  </si>
  <si>
    <t>R$</t>
  </si>
  <si>
    <t>PREENCHA. Fica 0 até você decidir o preço.</t>
  </si>
  <si>
    <t>Taxa da Hotmart (percentual)</t>
  </si>
  <si>
    <t>%</t>
  </si>
  <si>
    <t>Referência pública 9,9% + R$ 1 por venda; confirmar no contrato.</t>
  </si>
  <si>
    <t>Taxa da Hotmart (fixa por venda)</t>
  </si>
  <si>
    <t>Custo variável por paciente por mês</t>
  </si>
  <si>
    <t>Só o que cresce com cada paciente. Infra e planos de e-mail estão na aba Cenários, porque vêm em degraus.</t>
  </si>
  <si>
    <t>Item</t>
  </si>
  <si>
    <t>R$/mês</t>
  </si>
  <si>
    <t>Como foi calculado</t>
  </si>
  <si>
    <t>Chat da Lu (IA)</t>
  </si>
  <si>
    <t>msgs × (entrada × preço + saída × preço)</t>
  </si>
  <si>
    <t>Foto do prato (IA)</t>
  </si>
  <si>
    <t>análises × (entrada × preço + saída × preço)</t>
  </si>
  <si>
    <t>Resumo do dia (IA, só app)</t>
  </si>
  <si>
    <t>idem</t>
  </si>
  <si>
    <t>R2: fotos guardadas</t>
  </si>
  <si>
    <t>fotos/mês × KB × meses de retenção → GB × preço</t>
  </si>
  <si>
    <t>R2: uploads e leituras</t>
  </si>
  <si>
    <t>fotos × (classe A + leituras × classe B)</t>
  </si>
  <si>
    <t>E-mail acima do plano (só quando passa de 100 mil/mês)</t>
  </si>
  <si>
    <t>Usado na aba Cenários só no que exceder o plano.</t>
  </si>
  <si>
    <t>WhatsApp (quando existir)</t>
  </si>
  <si>
    <t>msgs × preço</t>
  </si>
  <si>
    <t>TOTAL variável por paciente (sem o e-mail extra)</t>
  </si>
  <si>
    <t>Leitura:</t>
  </si>
  <si>
    <t>A IA (chat + foto) é quase todo o custo variável. Os tetos por conta em limites.js são o freio: se um paciente usar o teto inteiro do chat (600/mês), ele sozinho custa 30× a média.</t>
  </si>
  <si>
    <t>Cache de prompt da OpenAI (o prompt do sistema e a lista de receitas se repetem) pode cortar a entrada do chat em até ~50%. Não está contado aqui.</t>
  </si>
  <si>
    <t>Cenários por número de pacientes</t>
  </si>
  <si>
    <t>Infra e e-mail vêm em degraus (minha estimativa de tamanho por faixa). Os totais somam a aba Por paciente × N.</t>
  </si>
  <si>
    <t/>
  </si>
  <si>
    <t>1.000 pacientes</t>
  </si>
  <si>
    <t>5.000 pacientes</t>
  </si>
  <si>
    <t>10.000 pacientes</t>
  </si>
  <si>
    <t>30.000 pacientes</t>
  </si>
  <si>
    <t>Observação</t>
  </si>
  <si>
    <t>Pacientes (N)</t>
  </si>
  <si>
    <t>Mude aqui pra testar outro tamanho.</t>
  </si>
  <si>
    <t>Custo variável (aba Por paciente × N)</t>
  </si>
  <si>
    <t>IA + R2 + WhatsApp (US$/mês)</t>
  </si>
  <si>
    <t>Cresce linear com N.</t>
  </si>
  <si>
    <t>Custos em degrau</t>
  </si>
  <si>
    <t>E-mail transacional (US$/mês)</t>
  </si>
  <si>
    <t>Faixas: até 3 mil grátis, até 50 mil, até 100 mil, depois por e-mail.</t>
  </si>
  <si>
    <t>API: vCPU</t>
  </si>
  <si>
    <t>Estimativa de dimensionamento.</t>
  </si>
  <si>
    <t>API: GB de RAM</t>
  </si>
  <si>
    <t>Postgres: vCPU</t>
  </si>
  <si>
    <t>Postgres: GB de RAM</t>
  </si>
  <si>
    <t>Postgres: GB de disco</t>
  </si>
  <si>
    <t>Registros de refeição, planos, mensagens.</t>
  </si>
  <si>
    <t>Saída de dados (GB/mês)</t>
  </si>
  <si>
    <t>API + fotos assinadas passam pelo R2, não por aqui.</t>
  </si>
  <si>
    <t>Railway total (US$/mês)</t>
  </si>
  <si>
    <t>Plano Pro + recursos × preço.</t>
  </si>
  <si>
    <t>Síntese do dashboard por IA (US$/mês)</t>
  </si>
  <si>
    <t>Global, não depende de N.</t>
  </si>
  <si>
    <t>Cloudflare Pages (site + área de membros)</t>
  </si>
  <si>
    <t>Plano grátis serve.</t>
  </si>
  <si>
    <t>TOTAL (US$/mês)</t>
  </si>
  <si>
    <t>TOTAL (R$/mês)</t>
  </si>
  <si>
    <t>Custo por paciente (R$/mês)</t>
  </si>
  <si>
    <t>É esse número que tem que caber no ticket.</t>
  </si>
  <si>
    <t>Tempo da equipe</t>
  </si>
  <si>
    <t>Horas de nutri por mês</t>
  </si>
  <si>
    <t>Planos + dúvidas.</t>
  </si>
  <si>
    <t>Nutris necessárias (tempo integral)</t>
  </si>
  <si>
    <t>Sem aprovação em lote, a Lu sozinha para em ~1.000 pacientes.</t>
  </si>
  <si>
    <t>Receita (se o ticket estiver preenchido)</t>
  </si>
  <si>
    <t>Receita líquida da Hotmart (R$/mês)</t>
  </si>
  <si>
    <t>N × (ticket − taxa Hotmart).</t>
  </si>
  <si>
    <t>Margem antes de equipe e impostos (R$/mês)</t>
  </si>
  <si>
    <t>Não inclui salário das nutris, impostos nem marketing.</t>
  </si>
  <si>
    <t>De onde vieram os números e o que precisa decidir</t>
  </si>
  <si>
    <t>OpenAI</t>
  </si>
  <si>
    <t>https://developers.openai.com/api/docs/pricing — gpt-5.4-mini: US$ 0,75/1M entrada, US$ 4,50/1M saída (17/09/2026).</t>
  </si>
  <si>
    <t>Railway</t>
  </si>
  <si>
    <t>https://railway.com/pricing — US$ 20/vCPU-mês, US$ 10/GB RAM-mês, US$ 0,15/GB volume, US$ 0,05/GB saída; Hobby US$ 5, Pro US$ 20/assento.</t>
  </si>
  <si>
    <t>Cloudflare R2</t>
  </si>
  <si>
    <t>https://developers.cloudflare.com/r2/pricing — US$ 0,015/GB-mês, classe A US$ 4,50/M, classe B US$ 0,36/M, saída grátis.</t>
  </si>
  <si>
    <t>E-mail</t>
  </si>
  <si>
    <t>Resend (referência): Pro US$ 20 até 50 mil/mês, Scale US$ 90 até 100 mil/mês. Confirmar no provedor escolhido.</t>
  </si>
  <si>
    <t>WhatsApp</t>
  </si>
  <si>
    <t>Tabela pública da Meta pra mensagens utilitárias no Brasil (~US$ 0,008). Confirmar com o BSP na contratação.</t>
  </si>
  <si>
    <t>Hotmart</t>
  </si>
  <si>
    <t>Taxa pública 9,9% + R$ 1 por venda. Confirmar no contrato.</t>
  </si>
  <si>
    <t>DECISÕES PENDENTES</t>
  </si>
  <si>
    <t>1. Provedor de e-mail</t>
  </si>
  <si>
    <t>Hoje o backend manda pelo SMTP da caixa Titan. Caixa de e-mail tem limite de envio diário e vai bloquear no lançamento. Trocar por transacional (Resend, Brevo, Postmark) antes de abrir a venda.</t>
  </si>
  <si>
    <t>2. Railway Hobby → Pro</t>
  </si>
  <si>
    <t>Hobby é 1 instância pequena. Antes de 1.000 pacientes, passar pra Pro e dimensionar API e Postgres.</t>
  </si>
  <si>
    <t>3. Retenção de fotos</t>
  </si>
  <si>
    <t>Definir quantos meses de foto do prato ficam guardados. Muda o custo do R2 e é uma decisão de LGPD também.</t>
  </si>
  <si>
    <t>4. Aprovação em lote</t>
  </si>
  <si>
    <t>Com o editor atual a Lu para em ~1.000 pacientes. Precisa de geração automática com revisão por exceção e/ou mais nutris com o papel "nutri".</t>
  </si>
  <si>
    <t>5. Ticket</t>
  </si>
  <si>
    <t>Preencha o ticket na aba Premissas pra ver a margem por cenário.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</si>
</sst>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i/>
      <color rgb="FF666666"/>
    </font>
    <font>
      <b/>
    </font>
    <font>
      <b/>
      <color rgb="FF2F4F2F"/>
    </font>
  </fonts>
  <fills count="4">
    <fill>
      <patternFill patternType="none"/>
    </fill>
    <fill>
      <patternFill patternType="gray125"/>
    </fill>
    <fill>
      <patternFill patternType="solid">
        <fgColor rgb="FFE8EFE3"/>
      </patternFill>
    </fill>
    <fill>
      <patternFill patternType="solid">
        <fgColor rgb="FFFF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0" fillId="3" borderId="0" xfId="0" applyFill="1"/>
    <xf numFmtId="164" fontId="0" fillId="0" borderId="0" xfId="0" applyNumberFormat="1"/>
    <xf numFmtId="2" fontId="0" fillId="0" borderId="0" xfId="0" applyNumberFormat="1"/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3" fontId="3" fillId="0" borderId="0" xfId="0" applyNumberFormat="1" applyFont="1"/>
    <xf numFmtId="4" fontId="0" fillId="0" borderId="0" xfId="0" applyNumberFormat="1"/>
    <xf numFmtId="3" fontId="0" fillId="0" borderId="0" xfId="0" applyNumberFormat="1"/>
    <xf numFmtId="4" fontId="3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FormatPr defaultRowHeight="15" outlineLevelRow="0" outlineLevelCol="0" x14ac:dyDescent="55"/>
  <cols>
    <col min="1" max="1" width="46" customWidth="1"/>
    <col min="2" max="2" width="14" customWidth="1"/>
    <col min="3" max="3" width="16" customWidth="1"/>
    <col min="4" max="4" width="7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6" spans="1:1" x14ac:dyDescent="0.25">
      <c r="A6" s="4" t="s">
        <v>6</v>
      </c>
    </row>
    <row r="7" spans="1:4" x14ac:dyDescent="0.25">
      <c r="A7" t="s">
        <v>7</v>
      </c>
      <c r="B7" s="5">
        <v>5.5</v>
      </c>
      <c r="C7" t="s">
        <v>8</v>
      </c>
      <c r="D7" t="s">
        <v>9</v>
      </c>
    </row>
    <row r="8" spans="1:4" x14ac:dyDescent="0.25">
      <c r="A8" t="s">
        <v>10</v>
      </c>
      <c r="B8" s="5">
        <v>4.33</v>
      </c>
      <c r="C8" t="s">
        <v>11</v>
      </c>
      <c r="D8" t="s">
        <v>12</v>
      </c>
    </row>
    <row r="10" spans="1:1" x14ac:dyDescent="0.25">
      <c r="A10" s="4" t="s">
        <v>13</v>
      </c>
    </row>
    <row r="11" spans="1:4" x14ac:dyDescent="0.25">
      <c r="A11" t="s">
        <v>14</v>
      </c>
      <c r="B11" s="5">
        <v>0.75</v>
      </c>
      <c r="C11" t="s">
        <v>15</v>
      </c>
      <c r="D11" t="s">
        <v>16</v>
      </c>
    </row>
    <row r="12" spans="1:4" x14ac:dyDescent="0.25">
      <c r="A12" t="s">
        <v>17</v>
      </c>
      <c r="B12" s="5">
        <v>4.5</v>
      </c>
      <c r="C12" t="s">
        <v>15</v>
      </c>
      <c r="D12" t="s">
        <v>18</v>
      </c>
    </row>
    <row r="13" spans="1:4" x14ac:dyDescent="0.25">
      <c r="A13" t="s">
        <v>19</v>
      </c>
      <c r="B13" s="5">
        <v>20</v>
      </c>
      <c r="C13" t="s">
        <v>20</v>
      </c>
      <c r="D13" t="s">
        <v>21</v>
      </c>
    </row>
    <row r="14" spans="1:4" x14ac:dyDescent="0.25">
      <c r="A14" t="s">
        <v>22</v>
      </c>
      <c r="B14" s="5">
        <v>3000</v>
      </c>
      <c r="C14" t="s">
        <v>23</v>
      </c>
      <c r="D14" t="s">
        <v>24</v>
      </c>
    </row>
    <row r="15" spans="1:4" x14ac:dyDescent="0.25">
      <c r="A15" t="s">
        <v>25</v>
      </c>
      <c r="B15" s="5">
        <v>250</v>
      </c>
      <c r="C15" t="s">
        <v>23</v>
      </c>
      <c r="D15" t="s">
        <v>26</v>
      </c>
    </row>
    <row r="16" spans="1:4" x14ac:dyDescent="0.25">
      <c r="A16" t="s">
        <v>27</v>
      </c>
      <c r="B16" s="5">
        <v>30</v>
      </c>
      <c r="C16" t="s">
        <v>28</v>
      </c>
      <c r="D16" t="s">
        <v>29</v>
      </c>
    </row>
    <row r="17" spans="1:4" x14ac:dyDescent="0.25">
      <c r="A17" t="s">
        <v>30</v>
      </c>
      <c r="B17" s="5">
        <v>1500</v>
      </c>
      <c r="C17" t="s">
        <v>23</v>
      </c>
      <c r="D17" t="s">
        <v>31</v>
      </c>
    </row>
    <row r="18" spans="1:4" x14ac:dyDescent="0.25">
      <c r="A18" t="s">
        <v>32</v>
      </c>
      <c r="B18" s="5">
        <v>300</v>
      </c>
      <c r="C18" t="s">
        <v>23</v>
      </c>
      <c r="D18" t="s">
        <v>33</v>
      </c>
    </row>
    <row r="19" spans="1:4" x14ac:dyDescent="0.25">
      <c r="A19" t="s">
        <v>34</v>
      </c>
      <c r="B19" s="5">
        <v>0</v>
      </c>
      <c r="C19" t="s">
        <v>35</v>
      </c>
      <c r="D19" t="s">
        <v>36</v>
      </c>
    </row>
    <row r="20" spans="1:4" x14ac:dyDescent="0.25">
      <c r="A20" t="s">
        <v>37</v>
      </c>
      <c r="B20" s="5">
        <v>2000</v>
      </c>
      <c r="C20" t="s">
        <v>23</v>
      </c>
      <c r="D20" t="s">
        <v>38</v>
      </c>
    </row>
    <row r="21" spans="1:4" x14ac:dyDescent="0.25">
      <c r="A21" t="s">
        <v>39</v>
      </c>
      <c r="B21" s="5">
        <v>300</v>
      </c>
      <c r="C21" t="s">
        <v>23</v>
      </c>
      <c r="D21" t="s">
        <v>38</v>
      </c>
    </row>
    <row r="22" spans="1:4" x14ac:dyDescent="0.25">
      <c r="A22" t="s">
        <v>40</v>
      </c>
      <c r="B22" s="5">
        <v>1</v>
      </c>
      <c r="C22" t="s">
        <v>35</v>
      </c>
      <c r="D22" t="s">
        <v>41</v>
      </c>
    </row>
    <row r="23" spans="1:4" x14ac:dyDescent="0.25">
      <c r="A23" t="s">
        <v>42</v>
      </c>
      <c r="B23" s="5">
        <v>20000</v>
      </c>
      <c r="C23" t="s">
        <v>23</v>
      </c>
      <c r="D23" t="s">
        <v>43</v>
      </c>
    </row>
    <row r="24" spans="1:4" x14ac:dyDescent="0.25">
      <c r="A24" t="s">
        <v>44</v>
      </c>
      <c r="B24" s="5">
        <v>1000</v>
      </c>
      <c r="C24" t="s">
        <v>23</v>
      </c>
      <c r="D24" t="s">
        <v>38</v>
      </c>
    </row>
    <row r="26" spans="1:1" x14ac:dyDescent="0.25">
      <c r="A26" s="4" t="s">
        <v>45</v>
      </c>
    </row>
    <row r="27" spans="1:4" x14ac:dyDescent="0.25">
      <c r="A27" t="s">
        <v>46</v>
      </c>
      <c r="B27" s="5">
        <v>7</v>
      </c>
      <c r="C27" t="s">
        <v>47</v>
      </c>
      <c r="D27" t="s">
        <v>48</v>
      </c>
    </row>
    <row r="28" spans="1:4" x14ac:dyDescent="0.25">
      <c r="A28" t="s">
        <v>49</v>
      </c>
      <c r="B28" s="5">
        <v>20</v>
      </c>
      <c r="C28" t="s">
        <v>50</v>
      </c>
      <c r="D28" t="s">
        <v>51</v>
      </c>
    </row>
    <row r="29" spans="1:4" x14ac:dyDescent="0.25">
      <c r="A29" t="s">
        <v>52</v>
      </c>
      <c r="B29" s="5">
        <v>90</v>
      </c>
      <c r="C29" t="s">
        <v>50</v>
      </c>
      <c r="D29" t="s">
        <v>53</v>
      </c>
    </row>
    <row r="30" spans="1:4" x14ac:dyDescent="0.25">
      <c r="A30" t="s">
        <v>54</v>
      </c>
      <c r="B30" s="5">
        <v>0.0009</v>
      </c>
      <c r="C30" t="s">
        <v>15</v>
      </c>
      <c r="D30" t="s">
        <v>55</v>
      </c>
    </row>
    <row r="32" spans="1:1" x14ac:dyDescent="0.25">
      <c r="A32" s="4" t="s">
        <v>56</v>
      </c>
    </row>
    <row r="33" spans="1:4" x14ac:dyDescent="0.25">
      <c r="A33" t="s">
        <v>57</v>
      </c>
      <c r="B33" s="5">
        <v>30</v>
      </c>
      <c r="C33" t="s">
        <v>28</v>
      </c>
      <c r="D33" t="s">
        <v>58</v>
      </c>
    </row>
    <row r="34" spans="1:4" x14ac:dyDescent="0.25">
      <c r="A34" t="s">
        <v>59</v>
      </c>
      <c r="B34" s="5">
        <v>150</v>
      </c>
      <c r="C34" t="s">
        <v>60</v>
      </c>
      <c r="D34" t="s">
        <v>61</v>
      </c>
    </row>
    <row r="35" spans="1:4" x14ac:dyDescent="0.25">
      <c r="A35" t="s">
        <v>62</v>
      </c>
      <c r="B35" s="5">
        <v>6</v>
      </c>
      <c r="C35" t="s">
        <v>63</v>
      </c>
      <c r="D35" t="s">
        <v>64</v>
      </c>
    </row>
    <row r="36" spans="1:4" x14ac:dyDescent="0.25">
      <c r="A36" t="s">
        <v>65</v>
      </c>
      <c r="B36" s="5">
        <v>0.015</v>
      </c>
      <c r="C36" t="s">
        <v>66</v>
      </c>
      <c r="D36" t="s">
        <v>67</v>
      </c>
    </row>
    <row r="37" spans="1:4" x14ac:dyDescent="0.25">
      <c r="A37" t="s">
        <v>68</v>
      </c>
      <c r="B37" s="5">
        <v>4.5</v>
      </c>
      <c r="C37" t="s">
        <v>69</v>
      </c>
      <c r="D37" t="s">
        <v>70</v>
      </c>
    </row>
    <row r="38" spans="1:4" x14ac:dyDescent="0.25">
      <c r="A38" t="s">
        <v>71</v>
      </c>
      <c r="B38" s="5">
        <v>0.36</v>
      </c>
      <c r="C38" t="s">
        <v>69</v>
      </c>
      <c r="D38" t="s">
        <v>72</v>
      </c>
    </row>
    <row r="39" spans="1:4" x14ac:dyDescent="0.25">
      <c r="A39" t="s">
        <v>73</v>
      </c>
      <c r="B39" s="5">
        <v>10</v>
      </c>
      <c r="C39" t="s">
        <v>74</v>
      </c>
      <c r="D39" t="s">
        <v>75</v>
      </c>
    </row>
    <row r="41" spans="1:1" x14ac:dyDescent="0.25">
      <c r="A41" s="4" t="s">
        <v>76</v>
      </c>
    </row>
    <row r="42" spans="1:4" x14ac:dyDescent="0.25">
      <c r="A42" t="s">
        <v>77</v>
      </c>
      <c r="B42" s="5">
        <v>20</v>
      </c>
      <c r="C42" t="s">
        <v>78</v>
      </c>
      <c r="D42" t="s">
        <v>79</v>
      </c>
    </row>
    <row r="43" spans="1:4" x14ac:dyDescent="0.25">
      <c r="A43" t="s">
        <v>80</v>
      </c>
      <c r="B43" s="5">
        <v>10</v>
      </c>
      <c r="C43" t="s">
        <v>66</v>
      </c>
      <c r="D43" t="s">
        <v>18</v>
      </c>
    </row>
    <row r="44" spans="1:4" x14ac:dyDescent="0.25">
      <c r="A44" t="s">
        <v>81</v>
      </c>
      <c r="B44" s="5">
        <v>0.15</v>
      </c>
      <c r="C44" t="s">
        <v>66</v>
      </c>
      <c r="D44" t="s">
        <v>18</v>
      </c>
    </row>
    <row r="45" spans="1:4" x14ac:dyDescent="0.25">
      <c r="A45" t="s">
        <v>82</v>
      </c>
      <c r="B45" s="5">
        <v>0.05</v>
      </c>
      <c r="C45" t="s">
        <v>83</v>
      </c>
      <c r="D45" t="s">
        <v>18</v>
      </c>
    </row>
    <row r="46" spans="1:4" x14ac:dyDescent="0.25">
      <c r="A46" t="s">
        <v>84</v>
      </c>
      <c r="B46" s="5">
        <v>20</v>
      </c>
      <c r="C46" t="s">
        <v>50</v>
      </c>
      <c r="D46" t="s">
        <v>85</v>
      </c>
    </row>
    <row r="48" spans="1:1" x14ac:dyDescent="0.25">
      <c r="A48" s="4" t="s">
        <v>86</v>
      </c>
    </row>
    <row r="49" spans="1:4" x14ac:dyDescent="0.25">
      <c r="A49" t="s">
        <v>87</v>
      </c>
      <c r="B49" s="5">
        <v>0</v>
      </c>
      <c r="C49" t="s">
        <v>20</v>
      </c>
      <c r="D49" t="s">
        <v>88</v>
      </c>
    </row>
    <row r="50" spans="1:4" x14ac:dyDescent="0.25">
      <c r="A50" t="s">
        <v>89</v>
      </c>
      <c r="B50" s="5">
        <v>0.008</v>
      </c>
      <c r="C50" t="s">
        <v>15</v>
      </c>
      <c r="D50" t="s">
        <v>90</v>
      </c>
    </row>
    <row r="52" spans="1:1" x14ac:dyDescent="0.25">
      <c r="A52" s="4" t="s">
        <v>91</v>
      </c>
    </row>
    <row r="53" spans="1:4" x14ac:dyDescent="0.25">
      <c r="A53" t="s">
        <v>92</v>
      </c>
      <c r="B53" s="5">
        <v>6</v>
      </c>
      <c r="C53" t="s">
        <v>93</v>
      </c>
      <c r="D53" t="s">
        <v>94</v>
      </c>
    </row>
    <row r="54" spans="1:4" x14ac:dyDescent="0.25">
      <c r="A54" t="s">
        <v>95</v>
      </c>
      <c r="B54" s="5">
        <v>3</v>
      </c>
      <c r="C54" t="s">
        <v>93</v>
      </c>
      <c r="D54" t="s">
        <v>38</v>
      </c>
    </row>
    <row r="55" spans="1:4" x14ac:dyDescent="0.25">
      <c r="A55" t="s">
        <v>96</v>
      </c>
      <c r="B55" s="5">
        <v>2</v>
      </c>
      <c r="C55" t="s">
        <v>97</v>
      </c>
      <c r="D55" t="s">
        <v>38</v>
      </c>
    </row>
    <row r="56" spans="1:4" x14ac:dyDescent="0.25">
      <c r="A56" t="s">
        <v>98</v>
      </c>
      <c r="B56" s="5">
        <v>140</v>
      </c>
      <c r="C56" t="s">
        <v>99</v>
      </c>
      <c r="D56" t="s">
        <v>100</v>
      </c>
    </row>
    <row r="58" spans="1:1" x14ac:dyDescent="0.25">
      <c r="A58" s="4" t="s">
        <v>101</v>
      </c>
    </row>
    <row r="59" spans="1:4" x14ac:dyDescent="0.25">
      <c r="A59" t="s">
        <v>102</v>
      </c>
      <c r="B59" s="5">
        <v>0</v>
      </c>
      <c r="C59" t="s">
        <v>103</v>
      </c>
      <c r="D59" t="s">
        <v>104</v>
      </c>
    </row>
    <row r="60" spans="1:4" x14ac:dyDescent="0.25">
      <c r="A60" t="s">
        <v>105</v>
      </c>
      <c r="B60" s="5">
        <v>0.099</v>
      </c>
      <c r="C60" t="s">
        <v>106</v>
      </c>
      <c r="D60" t="s">
        <v>107</v>
      </c>
    </row>
    <row r="61" spans="1:4" x14ac:dyDescent="0.25">
      <c r="A61" t="s">
        <v>108</v>
      </c>
      <c r="B61" s="5">
        <v>1</v>
      </c>
      <c r="C61" t="s">
        <v>103</v>
      </c>
      <c r="D6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44" customWidth="1"/>
    <col min="2" max="3" width="16" customWidth="1"/>
    <col min="4" max="4" width="60" customWidth="1"/>
  </cols>
  <sheetData>
    <row r="1" spans="1:1" x14ac:dyDescent="0.25">
      <c r="A1" s="1" t="s">
        <v>109</v>
      </c>
    </row>
    <row r="2" spans="1:1" x14ac:dyDescent="0.25">
      <c r="A2" s="2" t="s">
        <v>110</v>
      </c>
    </row>
    <row r="4" spans="1:4" x14ac:dyDescent="0.25">
      <c r="A4" s="3" t="s">
        <v>111</v>
      </c>
      <c r="B4" s="3" t="s">
        <v>50</v>
      </c>
      <c r="C4" s="3" t="s">
        <v>112</v>
      </c>
      <c r="D4" s="3" t="s">
        <v>113</v>
      </c>
    </row>
    <row r="5" spans="1:4" x14ac:dyDescent="0.25">
      <c r="A5" t="s">
        <v>114</v>
      </c>
      <c r="B5" s="6">
        <f>Premissas!$B$13*(Premissas!$B$14*Premissas!$B$11+Premissas!$B$15*Premissas!$B$12)/1000000</f>
        <v>0.0675</v>
      </c>
      <c r="C5" s="7">
        <f>B5*Premissas!$B$7</f>
        <v>0.37125</v>
      </c>
      <c r="D5" t="s">
        <v>115</v>
      </c>
    </row>
    <row r="6" spans="1:4" x14ac:dyDescent="0.25">
      <c r="A6" t="s">
        <v>116</v>
      </c>
      <c r="B6" s="6">
        <f>Premissas!$B$16*(Premissas!$B$17*Premissas!$B$11+Premissas!$B$18*Premissas!$B$12)/1000000</f>
        <v>0.07425</v>
      </c>
      <c r="C6" s="7">
        <f>B6*Premissas!$B$7</f>
        <v>0.408375</v>
      </c>
      <c r="D6" t="s">
        <v>117</v>
      </c>
    </row>
    <row r="7" spans="1:4" x14ac:dyDescent="0.25">
      <c r="A7" t="s">
        <v>118</v>
      </c>
      <c r="B7" s="6">
        <f>Premissas!$B$19*(Premissas!$B$20*Premissas!$B$11+Premissas!$B$21*Premissas!$B$12)/1000000</f>
        <v>0</v>
      </c>
      <c r="C7" s="7">
        <f>B7*Premissas!$B$7</f>
        <v>0</v>
      </c>
      <c r="D7" t="s">
        <v>119</v>
      </c>
    </row>
    <row r="8" spans="1:4" x14ac:dyDescent="0.25">
      <c r="A8" t="s">
        <v>120</v>
      </c>
      <c r="B8" s="6">
        <f>(Premissas!$B$33*Premissas!$B$34*Premissas!$B$35/1024/1024)*Premissas!$B$36</f>
        <v>0.00038623809814453125</v>
      </c>
      <c r="C8" s="7">
        <f>B8*Premissas!$B$7</f>
        <v>0.002124309539794922</v>
      </c>
      <c r="D8" t="s">
        <v>121</v>
      </c>
    </row>
    <row r="9" spans="1:4" x14ac:dyDescent="0.25">
      <c r="A9" t="s">
        <v>122</v>
      </c>
      <c r="B9" s="6">
        <f>Premissas!$B$33*(Premissas!$B$37+Premissas!$B$39*Premissas!$B$38)/1000000</f>
        <v>0.000243</v>
      </c>
      <c r="C9" s="7">
        <f>B9*Premissas!$B$7</f>
        <v>0.0013365</v>
      </c>
      <c r="D9" t="s">
        <v>123</v>
      </c>
    </row>
    <row r="10" spans="1:4" x14ac:dyDescent="0.25">
      <c r="A10" t="s">
        <v>124</v>
      </c>
      <c r="B10" s="6">
        <f>Premissas!$B$27*Premissas!$B$30</f>
        <v>0.0063</v>
      </c>
      <c r="C10" s="7">
        <f>B10*Premissas!$B$7</f>
        <v>0.03465</v>
      </c>
      <c r="D10" t="s">
        <v>125</v>
      </c>
    </row>
    <row r="11" spans="1:4" x14ac:dyDescent="0.25">
      <c r="A11" t="s">
        <v>126</v>
      </c>
      <c r="B11" s="6">
        <f>Premissas!$B$49*Premissas!$B$50</f>
        <v>0</v>
      </c>
      <c r="C11" s="7">
        <f>B11*Premissas!$B$7</f>
        <v>0</v>
      </c>
      <c r="D11" t="s">
        <v>127</v>
      </c>
    </row>
    <row r="13" spans="1:3" x14ac:dyDescent="0.25">
      <c r="A13" s="8" t="s">
        <v>128</v>
      </c>
      <c r="B13" s="9">
        <f>'Por paciente'!$B$5+'Por paciente'!$B$6+'Por paciente'!$B$7+'Por paciente'!$B$8+'Por paciente'!$B$9+'Por paciente'!$B$11</f>
        <v>0.1423792380981445</v>
      </c>
      <c r="C13" s="10">
        <f>B13*Premissas!$B$7</f>
        <v>0.7830858095397948</v>
      </c>
    </row>
    <row r="15" spans="1:1" x14ac:dyDescent="0.25">
      <c r="A15" s="8" t="s">
        <v>129</v>
      </c>
    </row>
    <row r="16" spans="1:1" x14ac:dyDescent="0.25">
      <c r="A16" t="s">
        <v>130</v>
      </c>
    </row>
    <row r="17" spans="1:1" x14ac:dyDescent="0.25">
      <c r="A17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1" width="46" customWidth="1"/>
    <col min="2" max="5" width="16" customWidth="1"/>
    <col min="6" max="6" width="50" customWidth="1"/>
  </cols>
  <sheetData>
    <row r="1" spans="1:1" x14ac:dyDescent="0.25">
      <c r="A1" s="1" t="s">
        <v>132</v>
      </c>
    </row>
    <row r="2" spans="1:1" x14ac:dyDescent="0.25">
      <c r="A2" s="2" t="s">
        <v>133</v>
      </c>
    </row>
    <row r="4" spans="1:6" x14ac:dyDescent="0.25">
      <c r="A4" s="3" t="s">
        <v>134</v>
      </c>
      <c r="B4" s="3" t="s">
        <v>135</v>
      </c>
      <c r="C4" s="3" t="s">
        <v>136</v>
      </c>
      <c r="D4" s="3" t="s">
        <v>137</v>
      </c>
      <c r="E4" s="3" t="s">
        <v>138</v>
      </c>
      <c r="F4" s="3" t="s">
        <v>139</v>
      </c>
    </row>
    <row r="5" spans="1:6" x14ac:dyDescent="0.25">
      <c r="A5" s="8" t="s">
        <v>140</v>
      </c>
      <c r="B5" s="11">
        <v>1000</v>
      </c>
      <c r="C5" s="11">
        <v>5000</v>
      </c>
      <c r="D5" s="11">
        <v>10000</v>
      </c>
      <c r="E5" s="11">
        <v>30000</v>
      </c>
      <c r="F5" t="s">
        <v>141</v>
      </c>
    </row>
    <row r="7" spans="1:1" x14ac:dyDescent="0.25">
      <c r="A7" s="8" t="s">
        <v>142</v>
      </c>
    </row>
    <row r="8" spans="1:6" x14ac:dyDescent="0.25">
      <c r="A8" t="s">
        <v>143</v>
      </c>
      <c r="B8" s="12">
        <f>B$5*'Por paciente'!$B$13</f>
        <v>142.3792380981445</v>
      </c>
      <c r="C8" s="12">
        <f>C$5*'Por paciente'!$B$13</f>
        <v>711.8961904907226</v>
      </c>
      <c r="D8" s="12">
        <f>D$5*'Por paciente'!$B$13</f>
        <v>1423.7923809814451</v>
      </c>
      <c r="E8" s="12">
        <f>E$5*'Por paciente'!$B$13</f>
        <v>4271.377142944335</v>
      </c>
      <c r="F8" t="s">
        <v>144</v>
      </c>
    </row>
    <row r="10" spans="1:1" x14ac:dyDescent="0.25">
      <c r="A10" s="8" t="s">
        <v>145</v>
      </c>
    </row>
    <row r="11" spans="1:6" x14ac:dyDescent="0.25">
      <c r="A11" t="s">
        <v>146</v>
      </c>
      <c r="B11" s="12">
        <f>IF(B$5*Premissas!$B$27&lt;=3000,0,IF(B$5*Premissas!$B$27&lt;=50000,Premissas!$B$28,IF(B$5*Premissas!$B$27&lt;=100000,Premissas!$B$29,Premissas!$B$29+(B$5*Premissas!$B$27-100000)*Premissas!$B$30)))</f>
        <v>20</v>
      </c>
      <c r="C11" s="12">
        <f>IF(C$5*Premissas!$B$27&lt;=3000,0,IF(C$5*Premissas!$B$27&lt;=50000,Premissas!$B$28,IF(C$5*Premissas!$B$27&lt;=100000,Premissas!$B$29,Premissas!$B$29+(C$5*Premissas!$B$27-100000)*Premissas!$B$30)))</f>
        <v>20</v>
      </c>
      <c r="D11" s="12">
        <f>IF(D$5*Premissas!$B$27&lt;=3000,0,IF(D$5*Premissas!$B$27&lt;=50000,Premissas!$B$28,IF(D$5*Premissas!$B$27&lt;=100000,Premissas!$B$29,Premissas!$B$29+(D$5*Premissas!$B$27-100000)*Premissas!$B$30)))</f>
        <v>90</v>
      </c>
      <c r="E11" s="12">
        <f>IF(E$5*Premissas!$B$27&lt;=3000,0,IF(E$5*Premissas!$B$27&lt;=50000,Premissas!$B$28,IF(E$5*Premissas!$B$27&lt;=100000,Premissas!$B$29,Premissas!$B$29+(E$5*Premissas!$B$27-100000)*Premissas!$B$30)))</f>
        <v>189</v>
      </c>
      <c r="F11" t="s">
        <v>147</v>
      </c>
    </row>
    <row r="12" spans="1:6" x14ac:dyDescent="0.25">
      <c r="A12" t="s">
        <v>148</v>
      </c>
      <c r="B12" s="13">
        <v>1</v>
      </c>
      <c r="C12" s="13">
        <v>2</v>
      </c>
      <c r="D12" s="13">
        <v>2</v>
      </c>
      <c r="E12" s="13">
        <v>4</v>
      </c>
      <c r="F12" t="s">
        <v>149</v>
      </c>
    </row>
    <row r="13" spans="1:6" x14ac:dyDescent="0.25">
      <c r="A13" t="s">
        <v>150</v>
      </c>
      <c r="B13" s="13">
        <v>1</v>
      </c>
      <c r="C13" s="13">
        <v>2</v>
      </c>
      <c r="D13" s="13">
        <v>4</v>
      </c>
      <c r="E13" s="13">
        <v>8</v>
      </c>
      <c r="F13" t="s">
        <v>134</v>
      </c>
    </row>
    <row r="14" spans="1:6" x14ac:dyDescent="0.25">
      <c r="A14" t="s">
        <v>151</v>
      </c>
      <c r="B14" s="13">
        <v>1</v>
      </c>
      <c r="C14" s="13">
        <v>2</v>
      </c>
      <c r="D14" s="13">
        <v>2</v>
      </c>
      <c r="E14" s="13">
        <v>4</v>
      </c>
      <c r="F14" t="s">
        <v>134</v>
      </c>
    </row>
    <row r="15" spans="1:6" x14ac:dyDescent="0.25">
      <c r="A15" t="s">
        <v>152</v>
      </c>
      <c r="B15" s="13">
        <v>2</v>
      </c>
      <c r="C15" s="13">
        <v>4</v>
      </c>
      <c r="D15" s="13">
        <v>8</v>
      </c>
      <c r="E15" s="13">
        <v>16</v>
      </c>
      <c r="F15" t="s">
        <v>134</v>
      </c>
    </row>
    <row r="16" spans="1:6" x14ac:dyDescent="0.25">
      <c r="A16" t="s">
        <v>153</v>
      </c>
      <c r="B16" s="13">
        <v>5</v>
      </c>
      <c r="C16" s="13">
        <v>15</v>
      </c>
      <c r="D16" s="13">
        <v>30</v>
      </c>
      <c r="E16" s="13">
        <v>80</v>
      </c>
      <c r="F16" t="s">
        <v>154</v>
      </c>
    </row>
    <row r="17" spans="1:6" x14ac:dyDescent="0.25">
      <c r="A17" t="s">
        <v>155</v>
      </c>
      <c r="B17" s="13">
        <v>30</v>
      </c>
      <c r="C17" s="13">
        <v>120</v>
      </c>
      <c r="D17" s="13">
        <v>250</v>
      </c>
      <c r="E17" s="13">
        <v>700</v>
      </c>
      <c r="F17" t="s">
        <v>156</v>
      </c>
    </row>
    <row r="18" spans="1:6" x14ac:dyDescent="0.25">
      <c r="A18" t="s">
        <v>157</v>
      </c>
      <c r="B18" s="12">
        <f>Premissas!$B$46+(B12+B14)*Premissas!$B$42+(B13+B15)*Premissas!$B$43+B16*Premissas!$B$44+B17*Premissas!$B$45</f>
        <v>92.25</v>
      </c>
      <c r="C18" s="12">
        <f>Premissas!$B$46+(C12+C14)*Premissas!$B$42+(C13+C15)*Premissas!$B$43+C16*Premissas!$B$44+C17*Premissas!$B$45</f>
        <v>168.25</v>
      </c>
      <c r="D18" s="12">
        <f>Premissas!$B$46+(D12+D14)*Premissas!$B$42+(D13+D15)*Premissas!$B$43+D16*Premissas!$B$44+D17*Premissas!$B$45</f>
        <v>237</v>
      </c>
      <c r="E18" s="12">
        <f>Premissas!$B$46+(E12+E14)*Premissas!$B$42+(E13+E15)*Premissas!$B$43+E16*Premissas!$B$44+E17*Premissas!$B$45</f>
        <v>467</v>
      </c>
      <c r="F18" t="s">
        <v>158</v>
      </c>
    </row>
    <row r="19" spans="1:6" x14ac:dyDescent="0.25">
      <c r="A19" t="s">
        <v>159</v>
      </c>
      <c r="B19" s="12">
        <f>Premissas!$B$22*30*(Premissas!$B$23*Premissas!$B$11+Premissas!$B$24*Premissas!$B$12)/1000000</f>
        <v>0.585</v>
      </c>
      <c r="C19" s="12">
        <f>Premissas!$B$22*30*(Premissas!$B$23*Premissas!$B$11+Premissas!$B$24*Premissas!$B$12)/1000000</f>
        <v>0.585</v>
      </c>
      <c r="D19" s="12">
        <f>Premissas!$B$22*30*(Premissas!$B$23*Premissas!$B$11+Premissas!$B$24*Premissas!$B$12)/1000000</f>
        <v>0.585</v>
      </c>
      <c r="E19" s="12">
        <f>Premissas!$B$22*30*(Premissas!$B$23*Premissas!$B$11+Premissas!$B$24*Premissas!$B$12)/1000000</f>
        <v>0.585</v>
      </c>
      <c r="F19" t="s">
        <v>160</v>
      </c>
    </row>
    <row r="20" spans="1:6" x14ac:dyDescent="0.25">
      <c r="A20" t="s">
        <v>161</v>
      </c>
      <c r="B20" s="12">
        <v>0</v>
      </c>
      <c r="C20" s="12">
        <v>0</v>
      </c>
      <c r="D20" s="12">
        <v>0</v>
      </c>
      <c r="E20" s="12">
        <v>0</v>
      </c>
      <c r="F20" t="s">
        <v>162</v>
      </c>
    </row>
    <row r="22" spans="1:6" x14ac:dyDescent="0.25">
      <c r="A22" s="8" t="s">
        <v>163</v>
      </c>
      <c r="B22" s="14">
        <f>B8+B11+B18+B19+B20</f>
        <v>255.2142380981445</v>
      </c>
      <c r="C22" s="14">
        <f>C8+C11+C18+C19+C20</f>
        <v>900.7311904907226</v>
      </c>
      <c r="D22" s="14">
        <f>D8+D11+D18+D19+D20</f>
        <v>1751.3773809814452</v>
      </c>
      <c r="E22" s="14">
        <f>E8+E11+E18+E19+E20</f>
        <v>4927.962142944335</v>
      </c>
      <c r="F22" t="s">
        <v>134</v>
      </c>
    </row>
    <row r="23" spans="1:6" x14ac:dyDescent="0.25">
      <c r="A23" s="8" t="s">
        <v>164</v>
      </c>
      <c r="B23" s="14">
        <f>B22*Premissas!$B$7</f>
        <v>1403.6783095397948</v>
      </c>
      <c r="C23" s="14">
        <f>C22*Premissas!$B$7</f>
        <v>4954.021547698974</v>
      </c>
      <c r="D23" s="14">
        <f>D22*Premissas!$B$7</f>
        <v>9632.575595397948</v>
      </c>
      <c r="E23" s="14">
        <f>E22*Premissas!$B$7</f>
        <v>27103.791786193844</v>
      </c>
      <c r="F23" t="s">
        <v>134</v>
      </c>
    </row>
    <row r="24" spans="1:6" x14ac:dyDescent="0.25">
      <c r="A24" s="8" t="s">
        <v>165</v>
      </c>
      <c r="B24" s="14">
        <f>B23/B$5</f>
        <v>1.4036783095397949</v>
      </c>
      <c r="C24" s="14">
        <f>C23/C$5</f>
        <v>0.9908043095397948</v>
      </c>
      <c r="D24" s="14">
        <f>D23/D$5</f>
        <v>0.9632575595397947</v>
      </c>
      <c r="E24" s="14">
        <f>E23/E$5</f>
        <v>0.9034597262064614</v>
      </c>
      <c r="F24" t="s">
        <v>166</v>
      </c>
    </row>
    <row r="26" spans="1:1" x14ac:dyDescent="0.25">
      <c r="A26" s="8" t="s">
        <v>167</v>
      </c>
    </row>
    <row r="27" spans="1:6" x14ac:dyDescent="0.25">
      <c r="A27" t="s">
        <v>168</v>
      </c>
      <c r="B27" s="13">
        <f>(B$5*Premissas!$B$53+B$5*Premissas!$B$55*Premissas!$B$54)/60</f>
        <v>200</v>
      </c>
      <c r="C27" s="13">
        <f>(C$5*Premissas!$B$53+C$5*Premissas!$B$55*Premissas!$B$54)/60</f>
        <v>1000</v>
      </c>
      <c r="D27" s="13">
        <f>(D$5*Premissas!$B$53+D$5*Premissas!$B$55*Premissas!$B$54)/60</f>
        <v>2000</v>
      </c>
      <c r="E27" s="13">
        <f>(E$5*Premissas!$B$53+E$5*Premissas!$B$55*Premissas!$B$54)/60</f>
        <v>6000</v>
      </c>
      <c r="F27" t="s">
        <v>169</v>
      </c>
    </row>
    <row r="28" spans="1:6" x14ac:dyDescent="0.25">
      <c r="A28" s="8" t="s">
        <v>170</v>
      </c>
      <c r="B28" s="15">
        <f>B27/Premissas!$B$56</f>
        <v>1.4285714285714286</v>
      </c>
      <c r="C28" s="15">
        <f>C27/Premissas!$B$56</f>
        <v>7.142857142857143</v>
      </c>
      <c r="D28" s="15">
        <f>D27/Premissas!$B$56</f>
        <v>14.285714285714286</v>
      </c>
      <c r="E28" s="15">
        <f>E27/Premissas!$B$56</f>
        <v>42.857142857142854</v>
      </c>
      <c r="F28" t="s">
        <v>171</v>
      </c>
    </row>
    <row r="30" spans="1:1" x14ac:dyDescent="0.25">
      <c r="A30" s="8" t="s">
        <v>172</v>
      </c>
    </row>
    <row r="31" spans="1:6" x14ac:dyDescent="0.25">
      <c r="A31" t="s">
        <v>173</v>
      </c>
      <c r="B31" s="12">
        <f>IF(Premissas!$B$59&gt;0,B$5*(Premissas!$B$59*(1-Premissas!$B$60)-Premissas!$B$61),0)</f>
        <v>0</v>
      </c>
      <c r="C31" s="12">
        <f>IF(Premissas!$B$59&gt;0,C$5*(Premissas!$B$59*(1-Premissas!$B$60)-Premissas!$B$61),0)</f>
        <v>0</v>
      </c>
      <c r="D31" s="12">
        <f>IF(Premissas!$B$59&gt;0,D$5*(Premissas!$B$59*(1-Premissas!$B$60)-Premissas!$B$61),0)</f>
        <v>0</v>
      </c>
      <c r="E31" s="12">
        <f>IF(Premissas!$B$59&gt;0,E$5*(Premissas!$B$59*(1-Premissas!$B$60)-Premissas!$B$61),0)</f>
        <v>0</v>
      </c>
      <c r="F31" t="s">
        <v>174</v>
      </c>
    </row>
    <row r="32" spans="1:6" x14ac:dyDescent="0.25">
      <c r="A32" t="s">
        <v>175</v>
      </c>
      <c r="B32" s="12">
        <f>IF(Premissas!$B$59&gt;0,B31-B23,0)</f>
        <v>0</v>
      </c>
      <c r="C32" s="12">
        <f>IF(Premissas!$B$59&gt;0,C31-C23,0)</f>
        <v>0</v>
      </c>
      <c r="D32" s="12">
        <f>IF(Premissas!$B$59&gt;0,D31-D23,0)</f>
        <v>0</v>
      </c>
      <c r="E32" s="12">
        <f>IF(Premissas!$B$59&gt;0,E31-E23,0)</f>
        <v>0</v>
      </c>
      <c r="F32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40" customWidth="1"/>
    <col min="2" max="2" width="100" customWidth="1"/>
  </cols>
  <sheetData>
    <row r="1" spans="1:1" x14ac:dyDescent="0.25">
      <c r="A1" s="1" t="s">
        <v>177</v>
      </c>
    </row>
    <row r="3" spans="1:2" x14ac:dyDescent="0.25">
      <c r="A3" t="s">
        <v>178</v>
      </c>
      <c r="B3" t="s">
        <v>179</v>
      </c>
    </row>
    <row r="4" spans="1:2" x14ac:dyDescent="0.25">
      <c r="A4" t="s">
        <v>180</v>
      </c>
      <c r="B4" t="s">
        <v>181</v>
      </c>
    </row>
    <row r="5" spans="1:2" x14ac:dyDescent="0.25">
      <c r="A5" t="s">
        <v>182</v>
      </c>
      <c r="B5" t="s">
        <v>183</v>
      </c>
    </row>
    <row r="6" spans="1:2" x14ac:dyDescent="0.25">
      <c r="A6" t="s">
        <v>184</v>
      </c>
      <c r="B6" t="s">
        <v>185</v>
      </c>
    </row>
    <row r="7" spans="1:2" x14ac:dyDescent="0.25">
      <c r="A7" t="s">
        <v>186</v>
      </c>
      <c r="B7" t="s">
        <v>187</v>
      </c>
    </row>
    <row r="8" spans="1:2" x14ac:dyDescent="0.25">
      <c r="A8" t="s">
        <v>188</v>
      </c>
      <c r="B8" t="s">
        <v>189</v>
      </c>
    </row>
    <row r="10" spans="1:2" x14ac:dyDescent="0.25">
      <c r="A10" t="s">
        <v>190</v>
      </c>
      <c r="B10" t="s">
        <v>134</v>
      </c>
    </row>
    <row r="11" spans="1:2" x14ac:dyDescent="0.25">
      <c r="A11" t="s">
        <v>191</v>
      </c>
      <c r="B11" t="s">
        <v>192</v>
      </c>
    </row>
    <row r="12" spans="1:2" x14ac:dyDescent="0.25">
      <c r="A12" t="s">
        <v>193</v>
      </c>
      <c r="B12" t="s">
        <v>194</v>
      </c>
    </row>
    <row r="13" spans="1:2" x14ac:dyDescent="0.25">
      <c r="A13" t="s">
        <v>195</v>
      </c>
      <c r="B13" t="s">
        <v>196</v>
      </c>
    </row>
    <row r="14" spans="1:2" x14ac:dyDescent="0.25">
      <c r="A14" t="s">
        <v>197</v>
      </c>
      <c r="B14" t="s">
        <v>198</v>
      </c>
    </row>
    <row r="15" spans="1:2" x14ac:dyDescent="0.25">
      <c r="A15" t="s">
        <v>199</v>
      </c>
      <c r="B15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Premissas</vt:lpstr>
      <vt:lpstr>Por paciente</vt:lpstr>
      <vt:lpstr>Cenários</vt:lpstr>
      <vt:lpstr>Fontes e decisões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Nutri Lu · planilha gerada por script</dc:creator>
  <dc:title/>
  <dc:subject/>
  <dc:description/>
  <cp:keywords/>
  <cp:category/>
  <cp:lastModifiedBy>Unknown</cp:lastModifiedBy>
  <dcterms:created xsi:type="dcterms:W3CDTF">2026-09-16T19:12:49Z</dcterms:created>
  <dcterms:modified xsi:type="dcterms:W3CDTF">2026-09-16T19:12:49Z</dcterms:modified>
</cp:coreProperties>
</file>